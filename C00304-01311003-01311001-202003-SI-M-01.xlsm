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24226"/>
  <bookViews>
    <workbookView xWindow="0" yWindow="0" windowWidth="23040" windowHeight="9192" activeTab="2"/>
  </bookViews>
  <sheets>
    <sheet name="C003041" sheetId="1" r:id="rId1"/>
    <sheet name="MA_SBV" sheetId="3" r:id="rId2"/>
    <sheet name="Config" sheetId="4" r:id="rId3"/>
  </sheets>
  <externalReferences>
    <externalReference r:id="rId4"/>
  </externalReferences>
  <calcPr calcId="162913"/>
</workbook>
</file>

<file path=xl/calcChain.xml><?xml version="1.0" encoding="utf-8"?>
<calcChain xmlns="http://schemas.openxmlformats.org/spreadsheetml/2006/main">
  <c r="M45" i="1" l="1"/>
  <c r="M44" i="1"/>
  <c r="M43" i="1"/>
  <c r="M42" i="1"/>
  <c r="M41" i="1"/>
  <c r="M40" i="1"/>
  <c r="M39" i="1"/>
  <c r="M38" i="1"/>
  <c r="M37" i="1"/>
  <c r="M36" i="1"/>
  <c r="M35" i="1"/>
  <c r="M34" i="1"/>
  <c r="M33" i="1"/>
  <c r="M32" i="1"/>
  <c r="M31" i="1"/>
  <c r="M30" i="1"/>
  <c r="M29" i="1"/>
  <c r="M28" i="1"/>
  <c r="M27" i="1"/>
  <c r="M26" i="1"/>
  <c r="M25" i="1"/>
  <c r="M23" i="1"/>
  <c r="M22" i="1"/>
  <c r="M21" i="1"/>
  <c r="M20" i="1"/>
  <c r="L45" i="1"/>
  <c r="L44" i="1"/>
  <c r="L43" i="1"/>
  <c r="L42" i="1"/>
  <c r="L41" i="1"/>
  <c r="L40" i="1"/>
  <c r="L39" i="1"/>
  <c r="L38" i="1"/>
  <c r="L37" i="1"/>
  <c r="L36" i="1"/>
  <c r="L35" i="1"/>
  <c r="L34" i="1"/>
  <c r="L33" i="1"/>
  <c r="L32" i="1"/>
  <c r="L31" i="1"/>
  <c r="L30" i="1"/>
  <c r="L29" i="1"/>
  <c r="L28" i="1"/>
  <c r="L27" i="1"/>
  <c r="L26" i="1"/>
  <c r="L25" i="1"/>
  <c r="L23" i="1"/>
  <c r="L22" i="1"/>
  <c r="L21" i="1"/>
  <c r="L20" i="1"/>
  <c r="F45" i="1"/>
  <c r="F44" i="1"/>
  <c r="F43" i="1"/>
  <c r="F42" i="1"/>
  <c r="F41" i="1"/>
  <c r="F40" i="1"/>
  <c r="F39" i="1"/>
  <c r="F38" i="1"/>
  <c r="F37" i="1"/>
  <c r="F36" i="1"/>
  <c r="F35" i="1"/>
  <c r="F34" i="1"/>
  <c r="F33" i="1"/>
  <c r="F32" i="1"/>
  <c r="F31" i="1"/>
  <c r="F30" i="1"/>
  <c r="F29" i="1"/>
  <c r="F28" i="1"/>
  <c r="F27" i="1"/>
  <c r="F26" i="1"/>
  <c r="F25" i="1"/>
  <c r="F23" i="1"/>
  <c r="F22" i="1"/>
  <c r="F21" i="1"/>
  <c r="F20" i="1"/>
  <c r="E45" i="1"/>
  <c r="E44" i="1"/>
  <c r="E43" i="1"/>
  <c r="E42" i="1"/>
  <c r="E41" i="1"/>
  <c r="E40" i="1"/>
  <c r="E39" i="1"/>
  <c r="E38" i="1"/>
  <c r="E37" i="1"/>
  <c r="E36" i="1"/>
  <c r="E35" i="1"/>
  <c r="E34" i="1"/>
  <c r="E33" i="1"/>
  <c r="E32" i="1"/>
  <c r="E30" i="1"/>
  <c r="E29" i="1"/>
  <c r="E28" i="1"/>
  <c r="E27" i="1"/>
  <c r="E26" i="1"/>
  <c r="E25" i="1"/>
  <c r="E23" i="1"/>
  <c r="E22" i="1"/>
  <c r="E21" i="1"/>
  <c r="E20" i="1"/>
  <c r="D45" i="1"/>
  <c r="D44" i="1"/>
  <c r="D43" i="1"/>
  <c r="D42" i="1"/>
  <c r="D41" i="1"/>
  <c r="D40" i="1"/>
  <c r="D39" i="1"/>
  <c r="D38" i="1"/>
  <c r="D37" i="1"/>
  <c r="D36" i="1"/>
  <c r="D35" i="1"/>
  <c r="D34" i="1"/>
  <c r="D33" i="1"/>
  <c r="D32" i="1"/>
  <c r="D30" i="1"/>
  <c r="D29" i="1"/>
  <c r="D28" i="1"/>
  <c r="D27" i="1"/>
  <c r="D26" i="1"/>
  <c r="D25" i="1"/>
  <c r="D23" i="1"/>
  <c r="D22" i="1"/>
  <c r="D21" i="1"/>
  <c r="D20" i="1"/>
  <c r="M24" i="1" l="1"/>
  <c r="F24" i="1"/>
  <c r="K26" i="1" l="1"/>
  <c r="K27" i="1"/>
  <c r="K28" i="1"/>
  <c r="K29" i="1"/>
  <c r="K30" i="1"/>
  <c r="K32" i="1"/>
  <c r="K33" i="1"/>
  <c r="K34" i="1"/>
  <c r="K35" i="1"/>
  <c r="K36" i="1"/>
  <c r="K37" i="1"/>
  <c r="K38" i="1"/>
  <c r="K39" i="1"/>
  <c r="K40" i="1"/>
  <c r="K41" i="1"/>
  <c r="K42" i="1"/>
  <c r="K43" i="1"/>
  <c r="K44" i="1"/>
  <c r="K45" i="1"/>
  <c r="K25" i="1"/>
  <c r="K21" i="1"/>
  <c r="K22" i="1"/>
  <c r="K23" i="1"/>
  <c r="K20" i="1"/>
  <c r="J45" i="1"/>
  <c r="J44" i="1"/>
  <c r="J43" i="1"/>
  <c r="J42" i="1"/>
  <c r="J41" i="1"/>
  <c r="J40" i="1"/>
  <c r="J39" i="1"/>
  <c r="J38" i="1"/>
  <c r="J37" i="1"/>
  <c r="J36" i="1"/>
  <c r="J35" i="1"/>
  <c r="J34" i="1"/>
  <c r="J33" i="1"/>
  <c r="J32" i="1"/>
  <c r="J30" i="1"/>
  <c r="J29" i="1"/>
  <c r="J28" i="1"/>
  <c r="J27" i="1"/>
  <c r="J26" i="1"/>
  <c r="J25" i="1"/>
  <c r="J23" i="1" l="1"/>
  <c r="J22" i="1"/>
  <c r="J21" i="1"/>
  <c r="J20" i="1"/>
  <c r="F19" i="1"/>
  <c r="G19" i="1"/>
  <c r="G24" i="1" s="1"/>
  <c r="G46" i="1" s="1"/>
  <c r="H19" i="1"/>
  <c r="H24" i="1" s="1"/>
  <c r="H46" i="1" s="1"/>
  <c r="I19" i="1"/>
  <c r="I24" i="1" s="1"/>
  <c r="I46" i="1" s="1"/>
  <c r="K19" i="1"/>
  <c r="K24" i="1" s="1"/>
  <c r="K46" i="1" s="1"/>
  <c r="L19" i="1"/>
  <c r="L24" i="1" s="1"/>
  <c r="L46" i="1" s="1"/>
  <c r="M19" i="1"/>
  <c r="K31" i="1" l="1"/>
  <c r="F46" i="1"/>
  <c r="J19" i="1"/>
  <c r="J24" i="1" s="1"/>
  <c r="J46" i="1" s="1"/>
  <c r="D19" i="1"/>
  <c r="D24" i="1" s="1"/>
  <c r="D31" i="1" s="1"/>
  <c r="D46" i="1" l="1"/>
  <c r="E19" i="1"/>
  <c r="E24" i="1" s="1"/>
  <c r="C2" i="1"/>
  <c r="E46" i="1" l="1"/>
  <c r="E31" i="1"/>
  <c r="J31" i="1" s="1"/>
  <c r="M46" i="1"/>
</calcChain>
</file>

<file path=xl/sharedStrings.xml><?xml version="1.0" encoding="utf-8"?>
<sst xmlns="http://schemas.openxmlformats.org/spreadsheetml/2006/main" count="264" uniqueCount="238">
  <si>
    <t>C00304</t>
  </si>
  <si>
    <t>Tên file</t>
  </si>
  <si>
    <t>20200401</t>
  </si>
  <si>
    <t>Mã đơn vị gửi báo cáo</t>
  </si>
  <si>
    <t>D19:M47</t>
  </si>
  <si>
    <t>Mã đơn vị phát sinh dữ liệu</t>
  </si>
  <si>
    <t>Ngày dữ liệu</t>
  </si>
  <si>
    <t>Tên/Số điện thoại người kiểm duyệt báo cáo</t>
  </si>
  <si>
    <t>ID người kiểm duyệt báo cáo</t>
  </si>
  <si>
    <t>030N-TD</t>
  </si>
  <si>
    <t>BÁO CÁO KẾT QUẢ THÁO GỠ KHÓ KHĂN ĐỐI VỚI KHÁCH HÀNG BỊ ẢNH HƯỞNG BỞI DỊCH COVID – 19</t>
  </si>
  <si>
    <t>(Tháng)</t>
  </si>
  <si>
    <t>Đơn vị tính : tỷ đồng, khách hàng</t>
  </si>
  <si>
    <t>C-100</t>
  </si>
  <si>
    <t>C-102</t>
  </si>
  <si>
    <t>C-103</t>
  </si>
  <si>
    <t>C-105</t>
  </si>
  <si>
    <t>C-106</t>
  </si>
  <si>
    <t>C-107</t>
  </si>
  <si>
    <t>C-109</t>
  </si>
  <si>
    <t>C-110</t>
  </si>
  <si>
    <t>C-112</t>
  </si>
  <si>
    <t>C-113</t>
  </si>
  <si>
    <t>STT</t>
  </si>
  <si>
    <t>Chỉ tiêu</t>
  </si>
  <si>
    <t>Số dư nợ bị ảnh hưởng bởi dịch</t>
  </si>
  <si>
    <t>Cơ cấu lại thời hạn trả nợ và giữ nguyên nhóm nợ</t>
  </si>
  <si>
    <t>Miễn, giảm lãi và giữ nguyên nhóm nợ</t>
  </si>
  <si>
    <t>Tổng cộng</t>
  </si>
  <si>
    <t>Cho vay mới</t>
  </si>
  <si>
    <t>Số dư nợ đã cơ cấu lại thời hạn trả nợ</t>
  </si>
  <si>
    <t>Số khách hàng được cơ cấu lại thời hạn trả nợ</t>
  </si>
  <si>
    <t>Số dư nợ đã miễn, giảm lãi</t>
  </si>
  <si>
    <t>Số lãi đã được miễn, giảm</t>
  </si>
  <si>
    <t>Số khách hàng đã được miễn, giảm lãi</t>
  </si>
  <si>
    <t>Số dư nợ đã cơ cấu lại thời hạn trả nợ, miễn giảm lãi và giữ nguyên nhóm nợ</t>
  </si>
  <si>
    <t>Số khách hàng được cơ cấu lại thời hạn trả nợ, miễn, giảm lãi và giữ nguyên nhóm nợ</t>
  </si>
  <si>
    <t>Doanh số lũy kế từ ngày 23/01/2020</t>
  </si>
  <si>
    <t>Số khách hàng lũy kế từ ngày 23/01/2020</t>
  </si>
  <si>
    <t>3</t>
  </si>
  <si>
    <t>4</t>
  </si>
  <si>
    <t>5</t>
  </si>
  <si>
    <t>6</t>
  </si>
  <si>
    <t>7</t>
  </si>
  <si>
    <t>8</t>
  </si>
  <si>
    <t>9</t>
  </si>
  <si>
    <t>10</t>
  </si>
  <si>
    <t>11</t>
  </si>
  <si>
    <t>12</t>
  </si>
  <si>
    <t>R-100</t>
  </si>
  <si>
    <t>I</t>
  </si>
  <si>
    <t>Phân theo khách hàng</t>
  </si>
  <si>
    <t>R-101</t>
  </si>
  <si>
    <t>1</t>
  </si>
  <si>
    <t>Cá nhân</t>
  </si>
  <si>
    <t>R-102</t>
  </si>
  <si>
    <t>2</t>
  </si>
  <si>
    <t>Doanh nghiệp</t>
  </si>
  <si>
    <t>R-103</t>
  </si>
  <si>
    <t>Hợp tác xã, liên hiệp hợp tác xã</t>
  </si>
  <si>
    <t>R-104</t>
  </si>
  <si>
    <t>Khác</t>
  </si>
  <si>
    <t>R-105</t>
  </si>
  <si>
    <t>II</t>
  </si>
  <si>
    <t>Phân theo 21 ngành kinh tế</t>
  </si>
  <si>
    <t>R-106</t>
  </si>
  <si>
    <t>Nông nghiệp, lâm nghiệp và thuỷ sản</t>
  </si>
  <si>
    <t>R-107</t>
  </si>
  <si>
    <t>Khai khoáng</t>
  </si>
  <si>
    <t>R-108</t>
  </si>
  <si>
    <t>Công nghiệp chế biến, chế tạo</t>
  </si>
  <si>
    <t>R-109</t>
  </si>
  <si>
    <t>Sản xuất và phân phối điện, khí đốt, nước nóng, hơi nước và điều hoà không khí</t>
  </si>
  <si>
    <t>R-110</t>
  </si>
  <si>
    <t>Cung cấp nước; hoạt động quản lý và xử lý rác thải, nước thải.</t>
  </si>
  <si>
    <t>R-111</t>
  </si>
  <si>
    <t>Xây dựng</t>
  </si>
  <si>
    <t>R-112</t>
  </si>
  <si>
    <t>Bán buôn và bán lẻ; sửa chữa ô tô, mô tô, xe máy và xe có động cơ khác</t>
  </si>
  <si>
    <t>R-113</t>
  </si>
  <si>
    <t>Vận tải kho bãi</t>
  </si>
  <si>
    <t>R-114</t>
  </si>
  <si>
    <t>Dịch vụ lưu trú và ăn uống</t>
  </si>
  <si>
    <t>R-115</t>
  </si>
  <si>
    <t>Thông tin và truyền thông</t>
  </si>
  <si>
    <t>R-116</t>
  </si>
  <si>
    <t>Hoạt động tài chính, ngân hàng và bảo hiểm</t>
  </si>
  <si>
    <t>R-117</t>
  </si>
  <si>
    <t>Hoạt động kinh doanh bất động sản</t>
  </si>
  <si>
    <t>R-118</t>
  </si>
  <si>
    <t>13</t>
  </si>
  <si>
    <t>Hoạt động chuyên môn, khoa học và công nghệ</t>
  </si>
  <si>
    <t>R-119</t>
  </si>
  <si>
    <t>14</t>
  </si>
  <si>
    <t>Hoạt động hành chính và dịch vụ hỗ trợ</t>
  </si>
  <si>
    <t>R-120</t>
  </si>
  <si>
    <t>15</t>
  </si>
  <si>
    <t>Hoạt động của đảng Cộng sản, tổ chức chính trị - xã hội, quản lý nhà nước, an ninh quốc phòng; bảo đảm xã hội bắt buộc</t>
  </si>
  <si>
    <t>R-121</t>
  </si>
  <si>
    <t>16</t>
  </si>
  <si>
    <t>Giáo dục và đào tạo</t>
  </si>
  <si>
    <t>R-122</t>
  </si>
  <si>
    <t>17</t>
  </si>
  <si>
    <t>Y tế và hoạt động trợ giúp xã hội</t>
  </si>
  <si>
    <t>R-123</t>
  </si>
  <si>
    <t>18</t>
  </si>
  <si>
    <t>Nghệ thuật, vui chơi và giải trí</t>
  </si>
  <si>
    <t>R-124</t>
  </si>
  <si>
    <t>19</t>
  </si>
  <si>
    <t>Hoạt động dịch vụ khác</t>
  </si>
  <si>
    <t>R-125</t>
  </si>
  <si>
    <t>20</t>
  </si>
  <si>
    <t>Hoạt động làm thuê các công việc trong các hộ gia đình, sản xuất sản phẩm vật chất và dịch vụ tự tiêu dùng của hộ gia đình</t>
  </si>
  <si>
    <t>R-126</t>
  </si>
  <si>
    <t>21</t>
  </si>
  <si>
    <t>Hoạt động của các tổ chức và cơ quan quốc tế</t>
  </si>
  <si>
    <t>R-127</t>
  </si>
  <si>
    <t>III</t>
  </si>
  <si>
    <t>Tổng cộng (= I = II)</t>
  </si>
  <si>
    <t>R-128</t>
  </si>
  <si>
    <t>IV</t>
  </si>
  <si>
    <t>Tổng dư nợ không bị chuyển sang nhóm nợ xấu do được giữ nguyên nhóm nợ</t>
  </si>
  <si>
    <t>Không</t>
  </si>
  <si>
    <t>Help</t>
  </si>
  <si>
    <t>1. Đối tượng áp dụng: Các tổ chức tín dụng, chi nhánh ngân hàng nước ngoài.
2. Yêu cầu số liệu báo cáo: Trụ sở chính tổ chức tín dụng, chi nhánh ngân hàng nước ngoài gửi báo cáo cho NHNN thông qua Cục Công nghệ thông tin:
- Số liệu toàn hệ thống.
- Số liệu từng chi nhánh tổ chức tín dụng trong hệ thống (nếu có).
3. Đơn vị nhận và duyệt báo cáo: Vụ Tín dụng các ngành kinh tế, NHNN chi nhánh tỉnh, thành phố.       
4. Hướng dẫn lập báo cáo:
- Tổ chức tín dụng, chi nhánh ngân hàng nước ngoài báo cáo số liệu đến ngày cuối cùng của tháng liền trước. 
- Cột (3): Số dư nợ dự kiến bị ảnh hưởng bởi dịch Covid – 19 theo đánh giá của tổ chức tín dụng, chi nhánh ngân hàng nước ngoài.
- Cột (4): Số dư nợ (gốc, lãi) đã được cơ cấu lại thời hạn trả nợ và giữ nguyên nhóm nợ theo quy định tại Điều 4 và khoản 1 Điều 6 Thông tư 01/2020/TT-NHNN ngày 12/3/2020 (lưu ý đây là phần dư nợ phát sinh nghĩa vụ trả nợ gốc, lãi trong khoảng thời gian từ ngày 23/01/2020 đến ngày liền kề sau 3 tháng kể từ ngày Thủ tướng Chính phủ công bố hết dịch, không phải là toàn bộ dư nợ của khách hàng).
- Cột (5): Số khách hàng đã được cơ cấu lại thời hạn trả nợ và giữ nguyên nhóm nợ theo quy định tại Điều 4 và khoản 1 Điều 6 Thông tư 01/2020/TT-NHNN ngày 12/3/2020.
- Cột (6): Dư nợ đã miễn, giảm lãi và giữ nguyên nhóm nợ theo quy định tại Điều 5 và khoản 1 Điều 6 Thông tư 01/2020/TT-NHNN ngày 12/3/2020.
- Cột (7): Số tiền lãi mà khách hàng đã được miễn, giảm.
- Cột (8): Số khách hàng đã được miễn, giảm lãi và giữ nguyên nhóm nợ theo quy định tại Điều 5 và khoản 1 Điều 6 Thông tư 01/2020/TT-NHNN ngày 12/3/2020.
- Cột (9): Tổng dư nợ được cơ cấu lại thời hạn trả nợ, miễn, giảm lãi và giữ nguyên nhóm nợ theo quy định tại Điều 4, Điều 5 và khoản 1 Điều 6 Thông tư 01/2020/TT-NHNN ngày 12/3/2020.
- Cột (10): Tổng số khách hàng được cơ cấu lại thời hạn trả nợ, miễn, giảm lãi và giữ nguyên nhóm nợ theo quy định tại Điều 4, Điều 5 và khoản 1 Điều 6 Thông tư 01/2020/TT-NHNN ngày 12/3/2020. 
- Cột (11): Doanh số cho vay mới đối với khách hàng bị ảnh hưởng bởi dịch lũy kế từ ngày 23/01/2020 (bao gồm khách hàng vay mới sau khi đã được cơ cấu lại thời hạn trả nợ, miễn giảm lãi và các khách hàng khác thuộc tất cả các ngành, lĩnh vực bị ảnh hưởng bởi dịch), trong đó thống kê cả phần cho vay mới theo các chương trình, gói sản phẩm tín dụng ưu đãi đã đăng ký, báo cáo NHNN.
- Cột (12): Số khách hàng bị ảnh hưởng bởi dịch vay mới lũy kế từ ngày 23/01/2020.
- Dòng II báo cáo số liệu phân theo 21 ngành kinh tế theo quy định tại Quyết định 27/2018/QĐ-TTg ngày 06/7/2018 của Thủ tướng Chính phủ ban hành hệ thống ngành kinh tế Việt Nam.
- Dòng IV: Báo cáo số dư nợ không bị chuyển sang nhóm nợ xấu (nhóm 3, 4, 5) do được giữ nguyên nhóm nợ theo quy định tại Thông tư 01/2020/TT-NHNN ngày 12/3/2020 01/2020/TT-NHNN.
5. Công thức kiểm tra:
- Dòng I = Dòng 1 + 2 + 3 + 4 (mục I).
- Dòng II = Dòng 1+ 2 + … +21 (mục II).
- Dòng III = Dòng I = Dòng II.</t>
  </si>
  <si>
    <t>MA_CHI_NHANH</t>
  </si>
  <si>
    <t>01311038</t>
  </si>
  <si>
    <t>56311002</t>
  </si>
  <si>
    <t>79311022</t>
  </si>
  <si>
    <t>79311021</t>
  </si>
  <si>
    <t>79311018</t>
  </si>
  <si>
    <t>01311001</t>
  </si>
  <si>
    <t>52311001</t>
  </si>
  <si>
    <t>92311001</t>
  </si>
  <si>
    <t>92311002</t>
  </si>
  <si>
    <t>311.ducbm</t>
  </si>
  <si>
    <t>Triệu Thùy Dung/0988312731</t>
  </si>
  <si>
    <t>Parameter</t>
  </si>
  <si>
    <t>Value</t>
  </si>
  <si>
    <t>Result</t>
  </si>
  <si>
    <t>Tên Folder đích</t>
  </si>
  <si>
    <t>Tên File data nguồn</t>
  </si>
  <si>
    <t>Data.xlsx</t>
  </si>
  <si>
    <t>01311004</t>
  </si>
  <si>
    <t>89311001</t>
  </si>
  <si>
    <t>46311001</t>
  </si>
  <si>
    <t>45311001</t>
  </si>
  <si>
    <t>77311001</t>
  </si>
  <si>
    <t>77311002</t>
  </si>
  <si>
    <t>22311001</t>
  </si>
  <si>
    <t>22311005</t>
  </si>
  <si>
    <t>51311001</t>
  </si>
  <si>
    <t>79311007</t>
  </si>
  <si>
    <t>79311004</t>
  </si>
  <si>
    <t>87311001</t>
  </si>
  <si>
    <t>80311001</t>
  </si>
  <si>
    <t>91311001</t>
  </si>
  <si>
    <t>75311001</t>
  </si>
  <si>
    <t>75311004</t>
  </si>
  <si>
    <t>22311004</t>
  </si>
  <si>
    <t>72311001</t>
  </si>
  <si>
    <t>10311001</t>
  </si>
  <si>
    <t>33311001</t>
  </si>
  <si>
    <t>68311001</t>
  </si>
  <si>
    <t>82311001</t>
  </si>
  <si>
    <t>96311001</t>
  </si>
  <si>
    <t>34311001</t>
  </si>
  <si>
    <t>42311001</t>
  </si>
  <si>
    <t>24311001</t>
  </si>
  <si>
    <t>56311001</t>
  </si>
  <si>
    <t>40311001</t>
  </si>
  <si>
    <t>01311012</t>
  </si>
  <si>
    <t>01311034</t>
  </si>
  <si>
    <t>01311014</t>
  </si>
  <si>
    <t>01311010</t>
  </si>
  <si>
    <t>38311001</t>
  </si>
  <si>
    <t>01311003</t>
  </si>
  <si>
    <t>01311005</t>
  </si>
  <si>
    <t>01311011</t>
  </si>
  <si>
    <t>01311009</t>
  </si>
  <si>
    <t>27311001</t>
  </si>
  <si>
    <t>01311035</t>
  </si>
  <si>
    <t>01311033</t>
  </si>
  <si>
    <t>01311037</t>
  </si>
  <si>
    <t>01311002</t>
  </si>
  <si>
    <t>01311008</t>
  </si>
  <si>
    <t>01311006</t>
  </si>
  <si>
    <t>01311007</t>
  </si>
  <si>
    <t>01311013</t>
  </si>
  <si>
    <t>19311001</t>
  </si>
  <si>
    <t>64311001</t>
  </si>
  <si>
    <t>79311001</t>
  </si>
  <si>
    <t>79311005</t>
  </si>
  <si>
    <t>79311019</t>
  </si>
  <si>
    <t>79311006</t>
  </si>
  <si>
    <t>79311020</t>
  </si>
  <si>
    <t>79311003</t>
  </si>
  <si>
    <t>49311001</t>
  </si>
  <si>
    <t>74311001</t>
  </si>
  <si>
    <t>79311002</t>
  </si>
  <si>
    <t>74311003</t>
  </si>
  <si>
    <t>37311001</t>
  </si>
  <si>
    <t>31311001</t>
  </si>
  <si>
    <t>31311003</t>
  </si>
  <si>
    <t>31311002</t>
  </si>
  <si>
    <t>30311001</t>
  </si>
  <si>
    <t>48311001</t>
  </si>
  <si>
    <t>48311002</t>
  </si>
  <si>
    <t>66311001</t>
  </si>
  <si>
    <t>25311001</t>
  </si>
  <si>
    <t>26311001</t>
  </si>
  <si>
    <t>68311002</t>
  </si>
  <si>
    <t>20311001</t>
  </si>
  <si>
    <t>70311001</t>
  </si>
  <si>
    <t>60311001</t>
  </si>
  <si>
    <t>35311001</t>
  </si>
  <si>
    <t>36311001</t>
  </si>
  <si>
    <t>17311001</t>
  </si>
  <si>
    <t>14311001</t>
  </si>
  <si>
    <t>91311002</t>
  </si>
  <si>
    <t>44311001</t>
  </si>
  <si>
    <t>08311001</t>
  </si>
  <si>
    <t>15311001</t>
  </si>
  <si>
    <t>79311024</t>
  </si>
  <si>
    <t>79311023</t>
  </si>
  <si>
    <t>75311003</t>
  </si>
  <si>
    <t>01311036</t>
  </si>
  <si>
    <t>86311001</t>
  </si>
  <si>
    <t>79311025</t>
  </si>
  <si>
    <t>84311001</t>
  </si>
  <si>
    <t>01311039</t>
  </si>
  <si>
    <t>94311001</t>
  </si>
  <si>
    <t>54311001</t>
  </si>
  <si>
    <t>83311001</t>
  </si>
  <si>
    <t>0</t>
  </si>
  <si>
    <t>Tên File tổng hợp</t>
  </si>
  <si>
    <t>C00304-01311001-01311001-202003-ST-M-01.xlsx</t>
  </si>
  <si>
    <t>Range tổng hợp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</si>
</sst>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sz val="9"/>
      <color rgb="FF808080"/>
      <name val="Times New Roman"/>
      <family val="2"/>
    </font>
    <font>
      <b/>
      <sz val="8"/>
      <color theme="1"/>
      <name val="Times New Roman"/>
      <family val="1"/>
    </font>
    <font>
      <b/>
      <sz val="14"/>
      <color theme="1"/>
      <name val="Times New Roman"/>
      <family val="1"/>
    </font>
    <font>
      <b/>
      <sz val="11"/>
      <color theme="1"/>
      <name val="Times New Roman"/>
      <family val="1"/>
    </font>
    <font>
      <sz val="8"/>
      <color theme="1"/>
      <name val="Times New Roman"/>
      <family val="1"/>
    </font>
    <font>
      <sz val="11"/>
      <color rgb="FF000000"/>
      <name val="Calibri"/>
      <family val="2"/>
    </font>
  </fonts>
  <fills count="4">
    <fill>
      <patternFill patternType="none"/>
    </fill>
    <fill>
      <patternFill patternType="gray125"/>
    </fill>
    <fill>
      <patternFill patternType="solid">
        <fgColor indexed="26"/>
        <bgColor indexed="64"/>
      </patternFill>
    </fill>
    <fill>
      <patternFill patternType="solid">
        <fgColor indexed="22"/>
        <bgColor indexed="64"/>
      </patternFill>
    </fill>
  </fills>
  <borders count="15">
    <border>
      <left/>
      <right/>
      <top/>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39">
    <xf numFmtId="0" fontId="0" fillId="0" borderId="0" xfId="0"/>
    <xf numFmtId="49" fontId="1" fillId="0" borderId="0" xfId="0" applyNumberFormat="1" applyFont="1" applyAlignment="1" applyProtection="1">
      <alignment horizontal="center" vertical="center"/>
    </xf>
    <xf numFmtId="49" fontId="0" fillId="0" borderId="0" xfId="0" applyNumberFormat="1" applyAlignment="1" applyProtection="1">
      <alignment vertical="center"/>
    </xf>
    <xf numFmtId="49" fontId="0" fillId="0" borderId="0" xfId="0" applyNumberFormat="1" applyAlignment="1" applyProtection="1">
      <alignment vertical="center" wrapText="1"/>
    </xf>
    <xf numFmtId="49" fontId="2" fillId="0" borderId="1" xfId="0" applyNumberFormat="1" applyFont="1" applyBorder="1" applyAlignment="1" applyProtection="1">
      <alignment horizontal="right" vertical="center"/>
    </xf>
    <xf numFmtId="49" fontId="2" fillId="0" borderId="2" xfId="0" applyNumberFormat="1" applyFont="1" applyBorder="1" applyAlignment="1" applyProtection="1">
      <alignment horizontal="right" vertical="center"/>
    </xf>
    <xf numFmtId="49" fontId="2" fillId="0" borderId="3" xfId="0" applyNumberFormat="1" applyFont="1" applyBorder="1" applyAlignment="1" applyProtection="1">
      <alignment horizontal="right" vertical="center"/>
    </xf>
    <xf numFmtId="49" fontId="0" fillId="0" borderId="0" xfId="0" applyNumberFormat="1" applyAlignment="1" applyProtection="1">
      <alignment horizontal="right" vertical="center"/>
    </xf>
    <xf numFmtId="49" fontId="1" fillId="0" borderId="0" xfId="0" applyNumberFormat="1" applyFont="1" applyAlignment="1" applyProtection="1">
      <alignment horizontal="center" vertical="center" wrapText="1"/>
    </xf>
    <xf numFmtId="49" fontId="4" fillId="0" borderId="9" xfId="0" applyNumberFormat="1" applyFont="1" applyBorder="1" applyAlignment="1" applyProtection="1">
      <alignment horizontal="center" vertical="center" wrapText="1"/>
    </xf>
    <xf numFmtId="49" fontId="0" fillId="0" borderId="9" xfId="0" applyNumberFormat="1" applyBorder="1" applyAlignment="1" applyProtection="1">
      <alignment horizontal="center" vertical="center"/>
    </xf>
    <xf numFmtId="49" fontId="0" fillId="0" borderId="9" xfId="0" applyNumberFormat="1" applyBorder="1" applyAlignment="1" applyProtection="1">
      <alignment horizontal="center" vertical="center" wrapText="1"/>
    </xf>
    <xf numFmtId="49" fontId="1" fillId="0" borderId="9" xfId="0" applyNumberFormat="1" applyFont="1" applyBorder="1" applyAlignment="1" applyProtection="1">
      <alignment horizontal="center" vertical="center" wrapText="1"/>
    </xf>
    <xf numFmtId="49" fontId="1" fillId="0" borderId="9" xfId="0" applyNumberFormat="1" applyFont="1" applyBorder="1" applyAlignment="1" applyProtection="1">
      <alignment horizontal="center" vertical="center"/>
    </xf>
    <xf numFmtId="49" fontId="4" fillId="0" borderId="9" xfId="0" applyNumberFormat="1" applyFont="1" applyBorder="1" applyAlignment="1" applyProtection="1">
      <alignment horizontal="center" vertical="center"/>
    </xf>
    <xf numFmtId="49" fontId="4" fillId="0" borderId="9" xfId="0" applyNumberFormat="1" applyFont="1" applyBorder="1" applyAlignment="1" applyProtection="1">
      <alignment horizontal="left" vertical="center" wrapText="1"/>
    </xf>
    <xf numFmtId="49" fontId="0" fillId="3" borderId="9" xfId="0" applyNumberFormat="1" applyFill="1" applyBorder="1" applyAlignment="1" applyProtection="1">
      <alignment horizontal="center" vertical="center" wrapText="1"/>
    </xf>
    <xf numFmtId="49" fontId="0" fillId="3" borderId="9" xfId="0" applyNumberFormat="1" applyFill="1" applyBorder="1" applyAlignment="1" applyProtection="1">
      <alignment horizontal="center" vertical="center"/>
    </xf>
    <xf numFmtId="0" fontId="5" fillId="0" borderId="10" xfId="0" applyFont="1" applyBorder="1" applyAlignment="1">
      <alignment horizontal="right" vertical="center" wrapText="1"/>
    </xf>
    <xf numFmtId="0" fontId="0" fillId="0" borderId="11" xfId="0" applyBorder="1"/>
    <xf numFmtId="0" fontId="0" fillId="0" borderId="8" xfId="0" applyBorder="1"/>
    <xf numFmtId="0" fontId="0" fillId="0" borderId="12" xfId="0" applyBorder="1"/>
    <xf numFmtId="0" fontId="0" fillId="0" borderId="13" xfId="0" applyBorder="1"/>
    <xf numFmtId="0" fontId="0" fillId="0" borderId="4" xfId="0" applyFill="1" applyBorder="1"/>
    <xf numFmtId="0" fontId="0" fillId="0" borderId="14" xfId="0" applyBorder="1"/>
    <xf numFmtId="0" fontId="0" fillId="2" borderId="9" xfId="0" applyNumberFormat="1" applyFill="1" applyBorder="1" applyAlignment="1" applyProtection="1">
      <alignment horizontal="center" vertical="center"/>
      <protection locked="0"/>
    </xf>
    <xf numFmtId="0" fontId="0" fillId="2" borderId="9" xfId="0" applyNumberFormat="1" applyFill="1" applyBorder="1" applyAlignment="1" applyProtection="1">
      <alignment horizontal="center" vertical="center" wrapText="1"/>
      <protection locked="0"/>
    </xf>
    <xf numFmtId="49" fontId="4" fillId="0" borderId="5" xfId="0" applyNumberFormat="1" applyFont="1" applyBorder="1" applyAlignment="1" applyProtection="1">
      <alignment horizontal="center" vertical="center" wrapText="1"/>
    </xf>
    <xf numFmtId="49" fontId="4" fillId="0" borderId="6" xfId="0" applyNumberFormat="1" applyFont="1" applyBorder="1" applyAlignment="1" applyProtection="1">
      <alignment horizontal="center" vertical="center" wrapText="1"/>
    </xf>
    <xf numFmtId="49" fontId="0" fillId="0" borderId="0" xfId="0" applyNumberFormat="1" applyFont="1" applyAlignment="1" applyProtection="1">
      <alignment horizontal="left" vertical="center" wrapText="1"/>
    </xf>
    <xf numFmtId="49" fontId="3" fillId="0" borderId="0" xfId="0" applyNumberFormat="1" applyFont="1" applyAlignment="1" applyProtection="1">
      <alignment horizontal="center" vertical="center" wrapText="1"/>
    </xf>
    <xf numFmtId="49" fontId="0" fillId="0" borderId="0" xfId="0" applyNumberFormat="1" applyAlignment="1" applyProtection="1">
      <alignment horizontal="center" vertical="center" wrapText="1"/>
    </xf>
    <xf numFmtId="49" fontId="0" fillId="0" borderId="0" xfId="0" applyNumberFormat="1" applyAlignment="1" applyProtection="1">
      <alignment horizontal="right" vertical="center"/>
    </xf>
    <xf numFmtId="49" fontId="0" fillId="0" borderId="0" xfId="0" applyNumberFormat="1" applyAlignment="1" applyProtection="1">
      <alignment vertical="center"/>
    </xf>
    <xf numFmtId="49" fontId="4" fillId="0" borderId="4" xfId="0" applyNumberFormat="1" applyFont="1" applyBorder="1" applyAlignment="1" applyProtection="1">
      <alignment horizontal="center" vertical="center"/>
    </xf>
    <xf numFmtId="49" fontId="4" fillId="0" borderId="8" xfId="0" applyNumberFormat="1" applyFont="1" applyBorder="1" applyAlignment="1" applyProtection="1">
      <alignment horizontal="center" vertical="center"/>
    </xf>
    <xf numFmtId="49" fontId="4" fillId="0" borderId="4" xfId="0" applyNumberFormat="1" applyFont="1" applyBorder="1" applyAlignment="1" applyProtection="1">
      <alignment horizontal="center" vertical="center" wrapText="1"/>
    </xf>
    <xf numFmtId="49" fontId="4" fillId="0" borderId="8" xfId="0" applyNumberFormat="1" applyFont="1" applyBorder="1" applyAlignment="1" applyProtection="1">
      <alignment horizontal="center" vertical="center" wrapText="1"/>
    </xf>
    <xf numFmtId="49" fontId="4" fillId="0" borderId="7" xfId="0" applyNumberFormat="1" applyFont="1" applyBorder="1" applyAlignment="1" applyProtection="1">
      <alignment horizontal="center" vertical="center" wrapText="1"/>
    </xf>
  </cellXfs>
  <cellStyles count="1">
    <cellStyle name="Normal" xfId="0" builtinId="0"/>
  </cellStyles>
  <dxfs count="6">
    <dxf>
      <border diagonalUp="0" diagonalDown="0">
        <left style="thin">
          <color indexed="64"/>
        </left>
        <right/>
        <top style="thin">
          <color indexed="64"/>
        </top>
        <bottom/>
        <vertical/>
        <horizontal/>
      </border>
    </dxf>
    <dxf>
      <fill>
        <patternFill patternType="none">
          <fgColor indexed="64"/>
          <bgColor indexed="65"/>
        </patternFill>
      </fill>
      <border diagonalUp="0" diagonalDown="0">
        <left style="thin">
          <color indexed="64"/>
        </left>
        <right style="thin">
          <color indexed="64"/>
        </right>
        <top style="thin">
          <color indexed="64"/>
        </top>
        <bottom/>
        <vertical/>
        <horizontal/>
      </border>
    </dxf>
    <dxf>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297180</xdr:colOff>
          <xdr:row>10</xdr:row>
          <xdr:rowOff>144780</xdr:rowOff>
        </xdr:from>
        <xdr:to>
          <xdr:col>2</xdr:col>
          <xdr:colOff>1394460</xdr:colOff>
          <xdr:row>15</xdr:row>
          <xdr:rowOff>106680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TẠO FILE BÁO CÁO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304800</xdr:colOff>
          <xdr:row>16</xdr:row>
          <xdr:rowOff>152400</xdr:rowOff>
        </xdr:from>
        <xdr:to>
          <xdr:col>2</xdr:col>
          <xdr:colOff>1394460</xdr:colOff>
          <xdr:row>22</xdr:row>
          <xdr:rowOff>91440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TẠO FILE TỔNG HỢP</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U_CO_CAU"/>
      <sheetName val="NGANH_ANH_HUONG"/>
      <sheetName val="CHO_VAY_MOI"/>
      <sheetName val="SO_KH_CCN"/>
      <sheetName val="SO_KH_CVM"/>
    </sheetNames>
    <sheetDataSet>
      <sheetData sheetId="0">
        <row r="1">
          <cell r="AB1">
            <v>275120870880</v>
          </cell>
        </row>
        <row r="2">
          <cell r="I2" t="str">
            <v>MA_PHAN_THEO_KH</v>
          </cell>
          <cell r="P2" t="str">
            <v>SBV</v>
          </cell>
          <cell r="AB2" t="str">
            <v>TONG</v>
          </cell>
          <cell r="AC2" t="str">
            <v>MA_NGANH</v>
          </cell>
        </row>
        <row r="3">
          <cell r="I3" t="str">
            <v>DN</v>
          </cell>
          <cell r="P3" t="str">
            <v>49311001</v>
          </cell>
          <cell r="AB3">
            <v>200000000</v>
          </cell>
          <cell r="AC3" t="str">
            <v>0403</v>
          </cell>
        </row>
        <row r="4">
          <cell r="I4" t="str">
            <v>DN</v>
          </cell>
          <cell r="P4" t="str">
            <v>49311001</v>
          </cell>
          <cell r="AB4">
            <v>21400000</v>
          </cell>
          <cell r="AC4" t="str">
            <v>0403</v>
          </cell>
        </row>
        <row r="5">
          <cell r="I5" t="str">
            <v>CN</v>
          </cell>
          <cell r="P5" t="str">
            <v>01311011</v>
          </cell>
          <cell r="AB5">
            <v>30177000</v>
          </cell>
          <cell r="AC5" t="str">
            <v>0806</v>
          </cell>
        </row>
        <row r="6">
          <cell r="I6" t="str">
            <v>DN</v>
          </cell>
          <cell r="P6" t="str">
            <v>49311001</v>
          </cell>
          <cell r="AB6">
            <v>31200000</v>
          </cell>
          <cell r="AC6" t="str">
            <v>0403</v>
          </cell>
        </row>
        <row r="7">
          <cell r="I7" t="str">
            <v>DN</v>
          </cell>
          <cell r="P7" t="str">
            <v>01311011</v>
          </cell>
          <cell r="AB7">
            <v>67782254</v>
          </cell>
          <cell r="AC7" t="str">
            <v>0402</v>
          </cell>
        </row>
        <row r="8">
          <cell r="I8" t="str">
            <v>DN</v>
          </cell>
          <cell r="P8" t="str">
            <v>01311011</v>
          </cell>
          <cell r="AB8">
            <v>67629814</v>
          </cell>
          <cell r="AC8" t="str">
            <v>0402</v>
          </cell>
        </row>
        <row r="9">
          <cell r="I9" t="str">
            <v>DN</v>
          </cell>
          <cell r="P9" t="str">
            <v>48311001</v>
          </cell>
          <cell r="AB9">
            <v>64790000</v>
          </cell>
          <cell r="AC9" t="str">
            <v>0402</v>
          </cell>
        </row>
        <row r="10">
          <cell r="I10" t="str">
            <v>DN</v>
          </cell>
          <cell r="P10" t="str">
            <v>48311001</v>
          </cell>
          <cell r="AB10">
            <v>447481000</v>
          </cell>
          <cell r="AC10" t="str">
            <v>0402</v>
          </cell>
        </row>
        <row r="11">
          <cell r="I11" t="str">
            <v>DN</v>
          </cell>
          <cell r="P11" t="str">
            <v>01311011</v>
          </cell>
          <cell r="AB11">
            <v>267400000</v>
          </cell>
          <cell r="AC11" t="str">
            <v>0401</v>
          </cell>
        </row>
        <row r="12">
          <cell r="I12" t="str">
            <v>DN</v>
          </cell>
          <cell r="P12" t="str">
            <v>48311001</v>
          </cell>
          <cell r="AB12">
            <v>502000000</v>
          </cell>
          <cell r="AC12" t="str">
            <v>0402</v>
          </cell>
        </row>
        <row r="13">
          <cell r="I13" t="str">
            <v>DN</v>
          </cell>
          <cell r="P13" t="str">
            <v>22311001</v>
          </cell>
          <cell r="AB13">
            <v>64596000</v>
          </cell>
          <cell r="AC13" t="str">
            <v>0202</v>
          </cell>
        </row>
        <row r="14">
          <cell r="I14" t="str">
            <v>DN</v>
          </cell>
          <cell r="P14" t="str">
            <v>49311001</v>
          </cell>
          <cell r="AB14">
            <v>17638887000</v>
          </cell>
          <cell r="AC14" t="str">
            <v>0403</v>
          </cell>
        </row>
        <row r="15">
          <cell r="I15" t="str">
            <v>CN</v>
          </cell>
          <cell r="P15" t="str">
            <v>48311001</v>
          </cell>
          <cell r="AB15">
            <v>101558548000</v>
          </cell>
          <cell r="AC15" t="str">
            <v>0806</v>
          </cell>
        </row>
        <row r="16">
          <cell r="I16" t="str">
            <v>CN</v>
          </cell>
          <cell r="P16" t="str">
            <v>22311001</v>
          </cell>
          <cell r="AB16">
            <v>63979986</v>
          </cell>
          <cell r="AC16" t="str">
            <v>0806</v>
          </cell>
        </row>
        <row r="17">
          <cell r="I17" t="str">
            <v>CN</v>
          </cell>
          <cell r="P17" t="str">
            <v>79311020</v>
          </cell>
          <cell r="AB17">
            <v>4218749905</v>
          </cell>
          <cell r="AC17" t="str">
            <v>0806</v>
          </cell>
        </row>
        <row r="18">
          <cell r="I18" t="str">
            <v>CN</v>
          </cell>
          <cell r="P18" t="str">
            <v>49311001</v>
          </cell>
          <cell r="AB18">
            <v>160713000</v>
          </cell>
          <cell r="AC18" t="str">
            <v>0806</v>
          </cell>
        </row>
        <row r="19">
          <cell r="I19" t="str">
            <v>DN</v>
          </cell>
          <cell r="P19" t="str">
            <v>01311003</v>
          </cell>
          <cell r="AB19">
            <v>208123520</v>
          </cell>
          <cell r="AC19" t="str">
            <v>0501</v>
          </cell>
        </row>
        <row r="20">
          <cell r="I20" t="str">
            <v>CN</v>
          </cell>
          <cell r="P20" t="str">
            <v>79311001</v>
          </cell>
          <cell r="AB20">
            <v>1200000000</v>
          </cell>
          <cell r="AC20" t="str">
            <v>0401</v>
          </cell>
        </row>
        <row r="21">
          <cell r="I21" t="str">
            <v>DN</v>
          </cell>
          <cell r="P21" t="str">
            <v>01311003</v>
          </cell>
          <cell r="AB21">
            <v>994721808</v>
          </cell>
          <cell r="AC21" t="str">
            <v>0501</v>
          </cell>
        </row>
        <row r="22">
          <cell r="I22" t="str">
            <v>CN</v>
          </cell>
          <cell r="P22" t="str">
            <v>79311001</v>
          </cell>
          <cell r="AB22">
            <v>1200000000</v>
          </cell>
          <cell r="AC22" t="str">
            <v>0401</v>
          </cell>
        </row>
        <row r="23">
          <cell r="I23" t="str">
            <v>DN</v>
          </cell>
          <cell r="P23" t="str">
            <v>01311003</v>
          </cell>
          <cell r="AB23">
            <v>435637487</v>
          </cell>
          <cell r="AC23" t="str">
            <v>0501</v>
          </cell>
        </row>
        <row r="24">
          <cell r="I24" t="str">
            <v>CN</v>
          </cell>
          <cell r="P24" t="str">
            <v>56311001</v>
          </cell>
          <cell r="AB24">
            <v>2012500000</v>
          </cell>
          <cell r="AC24" t="str">
            <v>0806</v>
          </cell>
        </row>
        <row r="25">
          <cell r="I25" t="str">
            <v>DN</v>
          </cell>
          <cell r="P25" t="str">
            <v>01311003</v>
          </cell>
          <cell r="AB25">
            <v>43680000</v>
          </cell>
          <cell r="AC25" t="str">
            <v>0501</v>
          </cell>
        </row>
        <row r="26">
          <cell r="I26" t="str">
            <v>DN</v>
          </cell>
          <cell r="P26" t="str">
            <v>01311003</v>
          </cell>
          <cell r="AB26">
            <v>1094377900</v>
          </cell>
          <cell r="AC26" t="str">
            <v>0501</v>
          </cell>
        </row>
        <row r="27">
          <cell r="I27" t="str">
            <v>DN</v>
          </cell>
          <cell r="P27" t="str">
            <v>01311003</v>
          </cell>
          <cell r="AB27">
            <v>70780000</v>
          </cell>
          <cell r="AC27" t="str">
            <v>0501</v>
          </cell>
        </row>
        <row r="28">
          <cell r="I28" t="str">
            <v>CN</v>
          </cell>
          <cell r="P28" t="str">
            <v>79311005</v>
          </cell>
          <cell r="AB28">
            <v>3500000000</v>
          </cell>
          <cell r="AC28" t="str">
            <v>0401</v>
          </cell>
        </row>
        <row r="29">
          <cell r="I29" t="str">
            <v>CN</v>
          </cell>
          <cell r="P29" t="str">
            <v>79311005</v>
          </cell>
          <cell r="AB29">
            <v>3500000000</v>
          </cell>
          <cell r="AC29" t="str">
            <v>0401</v>
          </cell>
        </row>
        <row r="30">
          <cell r="I30" t="str">
            <v>DN</v>
          </cell>
          <cell r="P30" t="str">
            <v>01311003</v>
          </cell>
          <cell r="AB30">
            <v>2866647600</v>
          </cell>
          <cell r="AC30" t="str">
            <v>0501</v>
          </cell>
        </row>
        <row r="31">
          <cell r="I31" t="str">
            <v>DN</v>
          </cell>
          <cell r="P31" t="str">
            <v>37311001</v>
          </cell>
          <cell r="AB31">
            <v>353700000</v>
          </cell>
          <cell r="AC31" t="str">
            <v>0202</v>
          </cell>
        </row>
        <row r="32">
          <cell r="I32" t="str">
            <v>DN</v>
          </cell>
          <cell r="P32" t="str">
            <v>01311003</v>
          </cell>
          <cell r="AB32">
            <v>410248064</v>
          </cell>
          <cell r="AC32" t="str">
            <v>0501</v>
          </cell>
        </row>
        <row r="33">
          <cell r="I33" t="str">
            <v>CN</v>
          </cell>
          <cell r="P33" t="str">
            <v>01311035</v>
          </cell>
          <cell r="AB33">
            <v>600000000</v>
          </cell>
          <cell r="AC33" t="str">
            <v>0202</v>
          </cell>
        </row>
        <row r="34">
          <cell r="I34" t="str">
            <v>CN</v>
          </cell>
          <cell r="P34" t="str">
            <v>01311035</v>
          </cell>
          <cell r="AB34">
            <v>500000000</v>
          </cell>
          <cell r="AC34" t="str">
            <v>0202</v>
          </cell>
        </row>
        <row r="35">
          <cell r="I35" t="str">
            <v>CN</v>
          </cell>
          <cell r="P35" t="str">
            <v>01311035</v>
          </cell>
          <cell r="AB35">
            <v>500000000</v>
          </cell>
          <cell r="AC35" t="str">
            <v>0202</v>
          </cell>
        </row>
        <row r="36">
          <cell r="I36" t="str">
            <v>CN</v>
          </cell>
          <cell r="P36" t="str">
            <v>01311035</v>
          </cell>
          <cell r="AB36">
            <v>500000000</v>
          </cell>
          <cell r="AC36" t="str">
            <v>0202</v>
          </cell>
        </row>
        <row r="37">
          <cell r="I37" t="str">
            <v>DN</v>
          </cell>
          <cell r="P37" t="str">
            <v>01311003</v>
          </cell>
          <cell r="AB37">
            <v>638381625</v>
          </cell>
          <cell r="AC37" t="str">
            <v>0501</v>
          </cell>
        </row>
        <row r="38">
          <cell r="I38" t="str">
            <v>DN</v>
          </cell>
          <cell r="P38" t="str">
            <v>24311001</v>
          </cell>
          <cell r="AB38">
            <v>2829600000</v>
          </cell>
          <cell r="AC38" t="str">
            <v>0202</v>
          </cell>
        </row>
        <row r="39">
          <cell r="I39" t="str">
            <v>CN</v>
          </cell>
          <cell r="P39" t="str">
            <v>01311035</v>
          </cell>
          <cell r="AB39">
            <v>300000000</v>
          </cell>
          <cell r="AC39" t="str">
            <v>0202</v>
          </cell>
        </row>
        <row r="40">
          <cell r="I40" t="str">
            <v>DN</v>
          </cell>
          <cell r="P40" t="str">
            <v>01311004</v>
          </cell>
          <cell r="AB40">
            <v>5000000000</v>
          </cell>
          <cell r="AC40" t="str">
            <v>0401</v>
          </cell>
        </row>
        <row r="41">
          <cell r="I41" t="str">
            <v>DN</v>
          </cell>
          <cell r="P41" t="str">
            <v>01311012</v>
          </cell>
          <cell r="AB41">
            <v>0</v>
          </cell>
          <cell r="AC41" t="e">
            <v>#N/A</v>
          </cell>
        </row>
        <row r="42">
          <cell r="I42" t="str">
            <v>CN</v>
          </cell>
          <cell r="P42" t="str">
            <v>56311001</v>
          </cell>
          <cell r="AB42">
            <v>750578504</v>
          </cell>
          <cell r="AC42" t="str">
            <v>0202</v>
          </cell>
        </row>
        <row r="43">
          <cell r="I43" t="str">
            <v>DN</v>
          </cell>
          <cell r="P43" t="str">
            <v>22311001</v>
          </cell>
          <cell r="AB43">
            <v>60000000</v>
          </cell>
          <cell r="AC43" t="str">
            <v>0202</v>
          </cell>
        </row>
        <row r="44">
          <cell r="I44" t="str">
            <v>DN</v>
          </cell>
          <cell r="P44" t="str">
            <v>79311006</v>
          </cell>
          <cell r="AB44">
            <v>3000000000</v>
          </cell>
          <cell r="AC44" t="str">
            <v>0401</v>
          </cell>
        </row>
        <row r="45">
          <cell r="I45" t="str">
            <v>DN</v>
          </cell>
          <cell r="P45" t="str">
            <v>01311012</v>
          </cell>
          <cell r="AB45">
            <v>2500000000</v>
          </cell>
          <cell r="AC45" t="str">
            <v>0202</v>
          </cell>
        </row>
        <row r="46">
          <cell r="I46" t="str">
            <v>DN</v>
          </cell>
          <cell r="P46" t="str">
            <v>22311001</v>
          </cell>
          <cell r="AB46">
            <v>150000000</v>
          </cell>
          <cell r="AC46" t="str">
            <v>0202</v>
          </cell>
        </row>
        <row r="47">
          <cell r="I47" t="str">
            <v>DN</v>
          </cell>
          <cell r="P47" t="str">
            <v>37311001</v>
          </cell>
          <cell r="AB47">
            <v>365490000</v>
          </cell>
          <cell r="AC47" t="str">
            <v>0202</v>
          </cell>
        </row>
        <row r="48">
          <cell r="I48" t="str">
            <v>DN</v>
          </cell>
          <cell r="P48" t="str">
            <v>79311006</v>
          </cell>
          <cell r="AB48">
            <v>2800000000</v>
          </cell>
          <cell r="AC48" t="str">
            <v>0401</v>
          </cell>
        </row>
        <row r="49">
          <cell r="I49" t="str">
            <v>DN</v>
          </cell>
          <cell r="P49" t="str">
            <v>37311001</v>
          </cell>
          <cell r="AB49">
            <v>212691000</v>
          </cell>
          <cell r="AC49" t="str">
            <v>0202</v>
          </cell>
        </row>
        <row r="50">
          <cell r="I50" t="str">
            <v>DN</v>
          </cell>
          <cell r="P50" t="str">
            <v>68311001</v>
          </cell>
          <cell r="AB50">
            <v>245232000</v>
          </cell>
          <cell r="AC50" t="str">
            <v>0401</v>
          </cell>
        </row>
        <row r="51">
          <cell r="I51" t="str">
            <v>DN</v>
          </cell>
          <cell r="P51" t="str">
            <v>24311001</v>
          </cell>
          <cell r="AB51">
            <v>963903240</v>
          </cell>
          <cell r="AC51" t="str">
            <v>0202</v>
          </cell>
        </row>
        <row r="52">
          <cell r="I52" t="str">
            <v>DN</v>
          </cell>
          <cell r="P52" t="str">
            <v>22311001</v>
          </cell>
          <cell r="AB52">
            <v>300000000</v>
          </cell>
          <cell r="AC52" t="str">
            <v>0202</v>
          </cell>
        </row>
        <row r="53">
          <cell r="I53" t="str">
            <v>DN</v>
          </cell>
          <cell r="P53" t="str">
            <v>37311001</v>
          </cell>
          <cell r="AB53">
            <v>200000000</v>
          </cell>
          <cell r="AC53" t="str">
            <v>0202</v>
          </cell>
        </row>
        <row r="54">
          <cell r="I54" t="str">
            <v>DN</v>
          </cell>
          <cell r="P54" t="str">
            <v>37311001</v>
          </cell>
          <cell r="AB54">
            <v>200000000</v>
          </cell>
          <cell r="AC54" t="str">
            <v>0202</v>
          </cell>
        </row>
        <row r="55">
          <cell r="I55" t="str">
            <v>DN</v>
          </cell>
          <cell r="P55" t="str">
            <v>01311012</v>
          </cell>
          <cell r="AB55">
            <v>1150000000</v>
          </cell>
          <cell r="AC55" t="str">
            <v>0202</v>
          </cell>
        </row>
        <row r="56">
          <cell r="I56" t="str">
            <v>DN</v>
          </cell>
          <cell r="P56" t="str">
            <v>24311001</v>
          </cell>
          <cell r="AB56">
            <v>966025440</v>
          </cell>
          <cell r="AC56" t="str">
            <v>0202</v>
          </cell>
        </row>
        <row r="57">
          <cell r="I57" t="str">
            <v>DN</v>
          </cell>
          <cell r="P57" t="str">
            <v>68311001</v>
          </cell>
          <cell r="AB57">
            <v>1308690000</v>
          </cell>
          <cell r="AC57" t="str">
            <v>0401</v>
          </cell>
        </row>
        <row r="58">
          <cell r="I58" t="str">
            <v>DN</v>
          </cell>
          <cell r="P58" t="str">
            <v>79311019</v>
          </cell>
          <cell r="AB58">
            <v>3351315000</v>
          </cell>
          <cell r="AC58" t="str">
            <v>0401</v>
          </cell>
        </row>
        <row r="59">
          <cell r="I59" t="str">
            <v>DN</v>
          </cell>
          <cell r="P59" t="str">
            <v>68311001</v>
          </cell>
          <cell r="AB59">
            <v>662598000</v>
          </cell>
          <cell r="AC59" t="str">
            <v>0401</v>
          </cell>
        </row>
        <row r="60">
          <cell r="I60" t="str">
            <v>DN</v>
          </cell>
          <cell r="P60" t="str">
            <v>79311006</v>
          </cell>
          <cell r="AB60">
            <v>3200000000</v>
          </cell>
          <cell r="AC60" t="str">
            <v>0401</v>
          </cell>
        </row>
        <row r="61">
          <cell r="I61" t="str">
            <v>DN</v>
          </cell>
          <cell r="P61" t="str">
            <v>79311019</v>
          </cell>
          <cell r="AB61">
            <v>2658755000</v>
          </cell>
          <cell r="AC61" t="str">
            <v>0401</v>
          </cell>
        </row>
        <row r="62">
          <cell r="I62" t="str">
            <v>DN</v>
          </cell>
          <cell r="P62" t="str">
            <v>22311001</v>
          </cell>
          <cell r="AB62">
            <v>326000000</v>
          </cell>
          <cell r="AC62" t="str">
            <v>0202</v>
          </cell>
        </row>
        <row r="63">
          <cell r="I63" t="str">
            <v>DN</v>
          </cell>
          <cell r="P63" t="str">
            <v>79311019</v>
          </cell>
          <cell r="AB63">
            <v>1641200000</v>
          </cell>
          <cell r="AC63" t="str">
            <v>0401</v>
          </cell>
        </row>
        <row r="64">
          <cell r="I64" t="str">
            <v>DN</v>
          </cell>
          <cell r="P64" t="str">
            <v>01311005</v>
          </cell>
          <cell r="AB64">
            <v>2781000000</v>
          </cell>
          <cell r="AC64" t="str">
            <v>0401</v>
          </cell>
        </row>
        <row r="65">
          <cell r="I65" t="str">
            <v>DN</v>
          </cell>
          <cell r="P65" t="str">
            <v>79311006</v>
          </cell>
          <cell r="AB65">
            <v>1500000000</v>
          </cell>
          <cell r="AC65" t="str">
            <v>0401</v>
          </cell>
        </row>
        <row r="66">
          <cell r="I66" t="str">
            <v>DN</v>
          </cell>
          <cell r="P66" t="str">
            <v>22311001</v>
          </cell>
          <cell r="AB66">
            <v>308000000</v>
          </cell>
          <cell r="AC66" t="str">
            <v>0402</v>
          </cell>
        </row>
        <row r="67">
          <cell r="I67" t="str">
            <v>DN</v>
          </cell>
          <cell r="P67" t="str">
            <v>24311001</v>
          </cell>
          <cell r="AB67">
            <v>2044386000</v>
          </cell>
          <cell r="AC67" t="str">
            <v>0202</v>
          </cell>
        </row>
        <row r="68">
          <cell r="I68" t="str">
            <v>DN</v>
          </cell>
          <cell r="P68" t="str">
            <v>79311019</v>
          </cell>
          <cell r="AB68">
            <v>782991000</v>
          </cell>
          <cell r="AC68" t="str">
            <v>0401</v>
          </cell>
        </row>
        <row r="69">
          <cell r="I69" t="str">
            <v>DN</v>
          </cell>
          <cell r="P69" t="str">
            <v>49311001</v>
          </cell>
          <cell r="AB69">
            <v>14855269</v>
          </cell>
          <cell r="AC69" t="str">
            <v>0403</v>
          </cell>
        </row>
        <row r="70">
          <cell r="I70" t="str">
            <v>DN</v>
          </cell>
          <cell r="P70" t="str">
            <v>22311001</v>
          </cell>
          <cell r="AB70">
            <v>250000000</v>
          </cell>
          <cell r="AC70" t="str">
            <v>0202</v>
          </cell>
        </row>
        <row r="71">
          <cell r="I71" t="str">
            <v>DN</v>
          </cell>
          <cell r="P71" t="str">
            <v>22311001</v>
          </cell>
          <cell r="AB71">
            <v>330000000</v>
          </cell>
          <cell r="AC71" t="str">
            <v>0202</v>
          </cell>
        </row>
        <row r="72">
          <cell r="I72" t="str">
            <v>DN</v>
          </cell>
          <cell r="P72" t="str">
            <v>01311005</v>
          </cell>
          <cell r="AB72">
            <v>5338300000</v>
          </cell>
          <cell r="AC72" t="str">
            <v>0401</v>
          </cell>
        </row>
        <row r="73">
          <cell r="I73" t="str">
            <v>DN</v>
          </cell>
          <cell r="P73" t="str">
            <v>01311004</v>
          </cell>
          <cell r="AB73">
            <v>1650000000</v>
          </cell>
          <cell r="AC73" t="str">
            <v>0401</v>
          </cell>
        </row>
        <row r="74">
          <cell r="I74" t="str">
            <v>DN</v>
          </cell>
          <cell r="P74" t="str">
            <v>79311019</v>
          </cell>
          <cell r="AB74">
            <v>1199550000</v>
          </cell>
          <cell r="AC74" t="str">
            <v>0401</v>
          </cell>
        </row>
        <row r="75">
          <cell r="I75" t="str">
            <v>CN</v>
          </cell>
          <cell r="P75" t="str">
            <v>56311001</v>
          </cell>
          <cell r="AB75">
            <v>398059000</v>
          </cell>
          <cell r="AC75" t="str">
            <v>0202</v>
          </cell>
        </row>
        <row r="76">
          <cell r="I76" t="str">
            <v>DN</v>
          </cell>
          <cell r="P76" t="str">
            <v>77311001</v>
          </cell>
          <cell r="AB76">
            <v>50003500</v>
          </cell>
          <cell r="AC76" t="str">
            <v>0401</v>
          </cell>
        </row>
        <row r="77">
          <cell r="I77" t="str">
            <v>DN</v>
          </cell>
          <cell r="P77" t="str">
            <v>49311001</v>
          </cell>
          <cell r="AB77">
            <v>70317921</v>
          </cell>
          <cell r="AC77" t="str">
            <v>0403</v>
          </cell>
        </row>
        <row r="78">
          <cell r="I78" t="str">
            <v>DN</v>
          </cell>
          <cell r="P78" t="str">
            <v>37311001</v>
          </cell>
          <cell r="AB78">
            <v>1084680000</v>
          </cell>
          <cell r="AC78" t="str">
            <v>0202</v>
          </cell>
        </row>
        <row r="79">
          <cell r="I79" t="str">
            <v>DN</v>
          </cell>
          <cell r="P79" t="str">
            <v>01311004</v>
          </cell>
          <cell r="AB79">
            <v>2650500000</v>
          </cell>
          <cell r="AC79" t="str">
            <v>0401</v>
          </cell>
        </row>
        <row r="80">
          <cell r="I80" t="str">
            <v>DN</v>
          </cell>
          <cell r="P80" t="str">
            <v>22311001</v>
          </cell>
          <cell r="AB80">
            <v>320000000</v>
          </cell>
          <cell r="AC80" t="str">
            <v>0202</v>
          </cell>
        </row>
        <row r="81">
          <cell r="I81" t="str">
            <v>CN</v>
          </cell>
          <cell r="P81" t="str">
            <v>56311001</v>
          </cell>
          <cell r="AB81">
            <v>193454660</v>
          </cell>
          <cell r="AC81" t="str">
            <v>0202</v>
          </cell>
        </row>
        <row r="82">
          <cell r="I82" t="str">
            <v>DN</v>
          </cell>
          <cell r="P82" t="str">
            <v>22311001</v>
          </cell>
          <cell r="AB82">
            <v>50000000</v>
          </cell>
          <cell r="AC82" t="str">
            <v>0202</v>
          </cell>
        </row>
        <row r="83">
          <cell r="I83" t="str">
            <v>DN</v>
          </cell>
          <cell r="P83" t="str">
            <v>01311004</v>
          </cell>
          <cell r="AB83">
            <v>2617365500</v>
          </cell>
          <cell r="AC83" t="str">
            <v>0401</v>
          </cell>
        </row>
        <row r="84">
          <cell r="I84" t="str">
            <v>DN</v>
          </cell>
          <cell r="P84" t="str">
            <v>01311004</v>
          </cell>
          <cell r="AB84">
            <v>1534000000</v>
          </cell>
          <cell r="AC84" t="str">
            <v>0401</v>
          </cell>
        </row>
        <row r="85">
          <cell r="I85" t="str">
            <v>DN</v>
          </cell>
          <cell r="P85" t="str">
            <v>79311006</v>
          </cell>
          <cell r="AB85">
            <v>3150000000</v>
          </cell>
          <cell r="AC85" t="str">
            <v>0401</v>
          </cell>
        </row>
        <row r="86">
          <cell r="I86" t="str">
            <v>DN</v>
          </cell>
          <cell r="P86" t="str">
            <v>79311006</v>
          </cell>
          <cell r="AB86">
            <v>1900000000</v>
          </cell>
          <cell r="AC86" t="str">
            <v>0401</v>
          </cell>
        </row>
        <row r="87">
          <cell r="I87" t="str">
            <v>DN</v>
          </cell>
          <cell r="P87" t="str">
            <v>45311001</v>
          </cell>
          <cell r="AB87">
            <v>3537000000</v>
          </cell>
          <cell r="AC87" t="str">
            <v>0202</v>
          </cell>
        </row>
        <row r="88">
          <cell r="I88" t="str">
            <v>DN</v>
          </cell>
          <cell r="P88" t="str">
            <v>68311001</v>
          </cell>
          <cell r="AB88">
            <v>209862000</v>
          </cell>
          <cell r="AC88" t="str">
            <v>0401</v>
          </cell>
        </row>
        <row r="89">
          <cell r="I89" t="str">
            <v>DN</v>
          </cell>
          <cell r="P89" t="str">
            <v>77311001</v>
          </cell>
          <cell r="AB89">
            <v>399256000</v>
          </cell>
          <cell r="AC89" t="str">
            <v>0401</v>
          </cell>
        </row>
        <row r="90">
          <cell r="I90" t="str">
            <v>DN</v>
          </cell>
          <cell r="P90" t="str">
            <v>01311005</v>
          </cell>
          <cell r="AB90">
            <v>2375629662</v>
          </cell>
          <cell r="AC90" t="str">
            <v>0401</v>
          </cell>
        </row>
        <row r="91">
          <cell r="I91" t="str">
            <v>DN</v>
          </cell>
          <cell r="P91" t="str">
            <v>22311001</v>
          </cell>
          <cell r="AB91">
            <v>200000000</v>
          </cell>
          <cell r="AC91" t="str">
            <v>0202</v>
          </cell>
        </row>
        <row r="92">
          <cell r="I92" t="str">
            <v>DN</v>
          </cell>
          <cell r="P92" t="str">
            <v>01311005</v>
          </cell>
          <cell r="AB92">
            <v>2698179200</v>
          </cell>
          <cell r="AC92" t="str">
            <v>0401</v>
          </cell>
        </row>
        <row r="93">
          <cell r="I93" t="str">
            <v>DN</v>
          </cell>
          <cell r="P93" t="str">
            <v>01311005</v>
          </cell>
          <cell r="AB93">
            <v>2655199369</v>
          </cell>
          <cell r="AC93" t="str">
            <v>0401</v>
          </cell>
        </row>
        <row r="94">
          <cell r="I94" t="str">
            <v>DN</v>
          </cell>
          <cell r="P94" t="str">
            <v>38311001</v>
          </cell>
          <cell r="AB94">
            <v>23500000000</v>
          </cell>
          <cell r="AC94" t="str">
            <v>0202</v>
          </cell>
        </row>
        <row r="95">
          <cell r="I95" t="str">
            <v>DN</v>
          </cell>
          <cell r="P95" t="str">
            <v>01311012</v>
          </cell>
          <cell r="AB95">
            <v>350000000</v>
          </cell>
          <cell r="AC95" t="str">
            <v>0202</v>
          </cell>
        </row>
        <row r="96">
          <cell r="I96" t="str">
            <v>DN</v>
          </cell>
          <cell r="P96" t="str">
            <v>89311001</v>
          </cell>
          <cell r="AB96">
            <v>2721509280</v>
          </cell>
          <cell r="AC96" t="str">
            <v>0202</v>
          </cell>
        </row>
        <row r="97">
          <cell r="I97" t="str">
            <v>DN</v>
          </cell>
          <cell r="P97" t="str">
            <v>22311001</v>
          </cell>
          <cell r="AB97">
            <v>530000000</v>
          </cell>
          <cell r="AC97" t="str">
            <v>0202</v>
          </cell>
        </row>
        <row r="98">
          <cell r="I98" t="str">
            <v>DN</v>
          </cell>
          <cell r="P98" t="str">
            <v>31311002</v>
          </cell>
          <cell r="AB98">
            <v>290842755</v>
          </cell>
          <cell r="AC98" t="str">
            <v>0202</v>
          </cell>
        </row>
        <row r="99">
          <cell r="I99" t="str">
            <v>DN</v>
          </cell>
          <cell r="P99" t="str">
            <v>24311001</v>
          </cell>
          <cell r="AB99">
            <v>2894916600</v>
          </cell>
          <cell r="AC99" t="str">
            <v>0202</v>
          </cell>
        </row>
        <row r="100">
          <cell r="I100" t="str">
            <v>DN</v>
          </cell>
          <cell r="P100" t="str">
            <v>01311037</v>
          </cell>
          <cell r="AB100">
            <v>2054100500</v>
          </cell>
          <cell r="AC100" t="str">
            <v>0202</v>
          </cell>
        </row>
        <row r="101">
          <cell r="I101" t="str">
            <v>DN</v>
          </cell>
          <cell r="P101" t="str">
            <v>79311006</v>
          </cell>
          <cell r="AB101">
            <v>1900000000</v>
          </cell>
          <cell r="AC101" t="str">
            <v>0401</v>
          </cell>
        </row>
        <row r="102">
          <cell r="I102" t="str">
            <v>DN</v>
          </cell>
          <cell r="P102" t="str">
            <v>01311005</v>
          </cell>
          <cell r="AB102">
            <v>2450648140</v>
          </cell>
          <cell r="AC102" t="str">
            <v>0401</v>
          </cell>
        </row>
        <row r="103">
          <cell r="I103" t="str">
            <v>DN</v>
          </cell>
          <cell r="P103" t="str">
            <v>01311005</v>
          </cell>
          <cell r="AB103">
            <v>2019615400</v>
          </cell>
          <cell r="AC103" t="str">
            <v>0401</v>
          </cell>
        </row>
        <row r="104">
          <cell r="I104" t="str">
            <v>DN</v>
          </cell>
          <cell r="P104" t="str">
            <v>37311001</v>
          </cell>
          <cell r="AB104">
            <v>484880256</v>
          </cell>
          <cell r="AC104" t="str">
            <v>0202</v>
          </cell>
        </row>
        <row r="105">
          <cell r="I105" t="str">
            <v>DN</v>
          </cell>
          <cell r="P105" t="str">
            <v>31311002</v>
          </cell>
          <cell r="AB105">
            <v>131494681</v>
          </cell>
          <cell r="AC105" t="str">
            <v>0202</v>
          </cell>
        </row>
        <row r="106">
          <cell r="I106" t="str">
            <v>DN</v>
          </cell>
          <cell r="P106" t="str">
            <v>24311001</v>
          </cell>
          <cell r="AB106">
            <v>3819960000</v>
          </cell>
          <cell r="AC106" t="str">
            <v>0202</v>
          </cell>
        </row>
        <row r="107">
          <cell r="I107" t="str">
            <v>DN</v>
          </cell>
          <cell r="P107" t="str">
            <v>68311001</v>
          </cell>
          <cell r="AB107">
            <v>1167210000</v>
          </cell>
          <cell r="AC107" t="str">
            <v>0401</v>
          </cell>
        </row>
        <row r="108">
          <cell r="I108" t="str">
            <v>DN</v>
          </cell>
          <cell r="P108" t="str">
            <v>22311001</v>
          </cell>
          <cell r="AB108">
            <v>1200000000</v>
          </cell>
          <cell r="AC108" t="str">
            <v>0202</v>
          </cell>
        </row>
        <row r="109">
          <cell r="I109" t="str">
            <v>DN</v>
          </cell>
          <cell r="P109" t="str">
            <v>22311001</v>
          </cell>
          <cell r="AB109">
            <v>1100000000</v>
          </cell>
          <cell r="AC109" t="str">
            <v>0202</v>
          </cell>
        </row>
        <row r="110">
          <cell r="I110" t="str">
            <v>DN</v>
          </cell>
          <cell r="P110" t="str">
            <v>79311006</v>
          </cell>
          <cell r="AB110">
            <v>2171320000</v>
          </cell>
          <cell r="AC110" t="str">
            <v>0402</v>
          </cell>
        </row>
        <row r="111">
          <cell r="I111" t="str">
            <v>DN</v>
          </cell>
          <cell r="P111" t="str">
            <v>68311001</v>
          </cell>
          <cell r="AB111">
            <v>306540000</v>
          </cell>
          <cell r="AC111" t="str">
            <v>0401</v>
          </cell>
        </row>
        <row r="112">
          <cell r="I112" t="str">
            <v>DN</v>
          </cell>
          <cell r="P112" t="str">
            <v>49311001</v>
          </cell>
          <cell r="AB112">
            <v>420000000</v>
          </cell>
          <cell r="AC112" t="str">
            <v>0403</v>
          </cell>
        </row>
        <row r="113">
          <cell r="I113" t="str">
            <v>DN</v>
          </cell>
          <cell r="P113" t="str">
            <v>49311001</v>
          </cell>
          <cell r="AB113">
            <v>98506458</v>
          </cell>
          <cell r="AC113" t="str">
            <v>0403</v>
          </cell>
        </row>
        <row r="114">
          <cell r="I114" t="str">
            <v>DN</v>
          </cell>
          <cell r="P114" t="str">
            <v>49311001</v>
          </cell>
          <cell r="AB114">
            <v>199368825</v>
          </cell>
          <cell r="AC114" t="str">
            <v>0403</v>
          </cell>
        </row>
        <row r="115">
          <cell r="I115" t="str">
            <v>DN</v>
          </cell>
          <cell r="P115" t="str">
            <v>49311001</v>
          </cell>
          <cell r="AB115">
            <v>26638757</v>
          </cell>
          <cell r="AC115" t="str">
            <v>0403</v>
          </cell>
        </row>
        <row r="116">
          <cell r="I116" t="str">
            <v>DN</v>
          </cell>
          <cell r="P116" t="str">
            <v>22311001</v>
          </cell>
          <cell r="AB116">
            <v>700000000</v>
          </cell>
          <cell r="AC116" t="str">
            <v>0202</v>
          </cell>
        </row>
        <row r="117">
          <cell r="I117" t="str">
            <v>DN</v>
          </cell>
          <cell r="P117" t="str">
            <v>79311019</v>
          </cell>
          <cell r="AB117">
            <v>1114520000</v>
          </cell>
          <cell r="AC117" t="str">
            <v>0401</v>
          </cell>
        </row>
      </sheetData>
      <sheetData sheetId="1">
        <row r="1">
          <cell r="H1">
            <v>1269170466642</v>
          </cell>
        </row>
        <row r="2">
          <cell r="H2" t="str">
            <v>QUY_DOI</v>
          </cell>
          <cell r="O2" t="str">
            <v>UOL_TT31</v>
          </cell>
          <cell r="U2" t="str">
            <v>MA_SBV</v>
          </cell>
          <cell r="W2" t="str">
            <v>MA_PHAN_THEO_KH</v>
          </cell>
        </row>
        <row r="3">
          <cell r="H3">
            <v>2753773100</v>
          </cell>
          <cell r="O3" t="str">
            <v>0202</v>
          </cell>
          <cell r="U3" t="str">
            <v>37311001</v>
          </cell>
          <cell r="W3" t="str">
            <v>DN</v>
          </cell>
        </row>
        <row r="4">
          <cell r="H4">
            <v>2122200000</v>
          </cell>
          <cell r="O4" t="str">
            <v>0202</v>
          </cell>
          <cell r="U4" t="str">
            <v>37311001</v>
          </cell>
          <cell r="W4" t="str">
            <v>DN</v>
          </cell>
        </row>
        <row r="5">
          <cell r="H5">
            <v>183811</v>
          </cell>
          <cell r="O5" t="str">
            <v>0101</v>
          </cell>
          <cell r="U5" t="str">
            <v>01311004</v>
          </cell>
          <cell r="W5" t="str">
            <v>DN</v>
          </cell>
        </row>
        <row r="6">
          <cell r="H6">
            <v>10000000000</v>
          </cell>
          <cell r="O6" t="str">
            <v>0202</v>
          </cell>
          <cell r="U6" t="str">
            <v>74311001</v>
          </cell>
          <cell r="W6" t="str">
            <v>DN</v>
          </cell>
        </row>
        <row r="7">
          <cell r="H7">
            <v>7000000000</v>
          </cell>
          <cell r="O7" t="str">
            <v>0202</v>
          </cell>
          <cell r="U7" t="str">
            <v>74311001</v>
          </cell>
          <cell r="W7" t="str">
            <v>DN</v>
          </cell>
        </row>
        <row r="8">
          <cell r="H8">
            <v>500000000</v>
          </cell>
          <cell r="O8" t="str">
            <v>0802</v>
          </cell>
          <cell r="U8" t="str">
            <v>79311007</v>
          </cell>
          <cell r="W8" t="str">
            <v>CN</v>
          </cell>
        </row>
        <row r="9">
          <cell r="H9">
            <v>11983356000</v>
          </cell>
          <cell r="O9" t="str">
            <v>0401</v>
          </cell>
          <cell r="U9" t="str">
            <v>79311019</v>
          </cell>
          <cell r="W9" t="str">
            <v>DN</v>
          </cell>
        </row>
        <row r="10">
          <cell r="H10">
            <v>200340000</v>
          </cell>
          <cell r="O10" t="str">
            <v>0402</v>
          </cell>
          <cell r="U10" t="str">
            <v>74311003</v>
          </cell>
          <cell r="W10" t="str">
            <v>DN</v>
          </cell>
        </row>
        <row r="11">
          <cell r="H11">
            <v>450000000</v>
          </cell>
          <cell r="O11" t="str">
            <v>0402</v>
          </cell>
          <cell r="U11" t="str">
            <v>74311003</v>
          </cell>
          <cell r="W11" t="str">
            <v>DN</v>
          </cell>
        </row>
        <row r="12">
          <cell r="H12">
            <v>7319232000</v>
          </cell>
          <cell r="O12" t="str">
            <v>0401</v>
          </cell>
          <cell r="U12" t="str">
            <v>79311019</v>
          </cell>
          <cell r="W12" t="str">
            <v>DN</v>
          </cell>
        </row>
        <row r="13">
          <cell r="H13">
            <v>3046536000</v>
          </cell>
          <cell r="O13" t="str">
            <v>0401</v>
          </cell>
          <cell r="U13" t="str">
            <v>79311019</v>
          </cell>
          <cell r="W13" t="str">
            <v>DN</v>
          </cell>
        </row>
        <row r="14">
          <cell r="H14">
            <v>12579930000</v>
          </cell>
          <cell r="O14" t="str">
            <v>0401</v>
          </cell>
          <cell r="U14" t="str">
            <v>79311019</v>
          </cell>
          <cell r="W14" t="str">
            <v>DN</v>
          </cell>
        </row>
        <row r="15">
          <cell r="H15">
            <v>5074416000</v>
          </cell>
          <cell r="O15" t="str">
            <v>0401</v>
          </cell>
          <cell r="U15" t="str">
            <v>79311019</v>
          </cell>
          <cell r="W15" t="str">
            <v>DN</v>
          </cell>
        </row>
        <row r="16">
          <cell r="H16">
            <v>1070000000</v>
          </cell>
          <cell r="O16" t="str">
            <v>0401</v>
          </cell>
          <cell r="U16" t="str">
            <v>31311003</v>
          </cell>
          <cell r="W16" t="str">
            <v>DN</v>
          </cell>
        </row>
        <row r="17">
          <cell r="H17">
            <v>3005844000</v>
          </cell>
          <cell r="O17" t="str">
            <v>0401</v>
          </cell>
          <cell r="U17" t="str">
            <v>01311002</v>
          </cell>
          <cell r="W17" t="str">
            <v>DN</v>
          </cell>
        </row>
        <row r="18">
          <cell r="H18">
            <v>5486000000</v>
          </cell>
          <cell r="O18" t="str">
            <v>0401</v>
          </cell>
          <cell r="U18" t="str">
            <v>01311002</v>
          </cell>
          <cell r="W18" t="str">
            <v>DN</v>
          </cell>
        </row>
        <row r="19">
          <cell r="H19">
            <v>1828000000</v>
          </cell>
          <cell r="O19" t="str">
            <v>0401</v>
          </cell>
          <cell r="U19" t="str">
            <v>01311002</v>
          </cell>
          <cell r="W19" t="str">
            <v>DN</v>
          </cell>
        </row>
        <row r="20">
          <cell r="H20">
            <v>2980000000</v>
          </cell>
          <cell r="O20" t="str">
            <v>0401</v>
          </cell>
          <cell r="U20" t="str">
            <v>01311002</v>
          </cell>
          <cell r="W20" t="str">
            <v>DN</v>
          </cell>
        </row>
        <row r="21">
          <cell r="H21">
            <v>1595195000</v>
          </cell>
          <cell r="O21" t="str">
            <v>0401</v>
          </cell>
          <cell r="U21" t="str">
            <v>66311001</v>
          </cell>
          <cell r="W21" t="str">
            <v>DN</v>
          </cell>
        </row>
        <row r="22">
          <cell r="H22">
            <v>214192430</v>
          </cell>
          <cell r="O22" t="str">
            <v>0401</v>
          </cell>
          <cell r="U22" t="str">
            <v>66311001</v>
          </cell>
          <cell r="W22" t="str">
            <v>DN</v>
          </cell>
        </row>
        <row r="23">
          <cell r="H23">
            <v>400000000</v>
          </cell>
          <cell r="O23" t="str">
            <v>0401</v>
          </cell>
          <cell r="U23" t="str">
            <v>45311001</v>
          </cell>
          <cell r="W23" t="str">
            <v>CN</v>
          </cell>
        </row>
        <row r="24">
          <cell r="H24">
            <v>400000000</v>
          </cell>
          <cell r="O24" t="str">
            <v>0401</v>
          </cell>
          <cell r="U24" t="str">
            <v>49311001</v>
          </cell>
          <cell r="W24" t="str">
            <v>CN</v>
          </cell>
        </row>
        <row r="25">
          <cell r="H25">
            <v>130000000</v>
          </cell>
          <cell r="O25" t="str">
            <v>0401</v>
          </cell>
          <cell r="U25" t="str">
            <v>49311001</v>
          </cell>
          <cell r="W25" t="str">
            <v>CN</v>
          </cell>
        </row>
        <row r="26">
          <cell r="H26">
            <v>470000000</v>
          </cell>
          <cell r="O26" t="str">
            <v>0401</v>
          </cell>
          <cell r="U26" t="str">
            <v>49311001</v>
          </cell>
          <cell r="W26" t="str">
            <v>CN</v>
          </cell>
        </row>
        <row r="27">
          <cell r="H27">
            <v>579583326</v>
          </cell>
          <cell r="O27" t="str">
            <v>0202</v>
          </cell>
          <cell r="U27" t="str">
            <v>31311003</v>
          </cell>
          <cell r="W27" t="str">
            <v>DN</v>
          </cell>
        </row>
        <row r="28">
          <cell r="H28">
            <v>500000000</v>
          </cell>
          <cell r="O28" t="str">
            <v>0401</v>
          </cell>
          <cell r="U28" t="str">
            <v>89311001</v>
          </cell>
          <cell r="W28" t="str">
            <v>CN</v>
          </cell>
        </row>
        <row r="29">
          <cell r="H29">
            <v>220000000</v>
          </cell>
          <cell r="O29" t="str">
            <v>0202</v>
          </cell>
          <cell r="U29" t="str">
            <v>70311001</v>
          </cell>
          <cell r="W29" t="str">
            <v>CN</v>
          </cell>
        </row>
        <row r="30">
          <cell r="H30">
            <v>3000000000</v>
          </cell>
          <cell r="O30" t="str">
            <v>0202</v>
          </cell>
          <cell r="U30" t="str">
            <v>79311004</v>
          </cell>
          <cell r="W30" t="str">
            <v>CN</v>
          </cell>
        </row>
        <row r="31">
          <cell r="H31">
            <v>8000000000</v>
          </cell>
          <cell r="O31" t="str">
            <v>0202</v>
          </cell>
          <cell r="U31" t="str">
            <v>79311001</v>
          </cell>
          <cell r="W31" t="str">
            <v>DN</v>
          </cell>
        </row>
        <row r="32">
          <cell r="H32">
            <v>256000000</v>
          </cell>
          <cell r="O32" t="str">
            <v>0402</v>
          </cell>
          <cell r="U32" t="str">
            <v>51311001</v>
          </cell>
          <cell r="W32" t="str">
            <v>DN</v>
          </cell>
        </row>
        <row r="33">
          <cell r="H33">
            <v>629945000</v>
          </cell>
          <cell r="O33" t="str">
            <v>0402</v>
          </cell>
          <cell r="U33" t="str">
            <v>51311001</v>
          </cell>
          <cell r="W33" t="str">
            <v>DN</v>
          </cell>
        </row>
        <row r="34">
          <cell r="H34">
            <v>36188000</v>
          </cell>
          <cell r="O34" t="str">
            <v>0403</v>
          </cell>
          <cell r="U34" t="str">
            <v>56311002</v>
          </cell>
          <cell r="W34" t="str">
            <v>DN</v>
          </cell>
        </row>
        <row r="35">
          <cell r="H35">
            <v>3609573660</v>
          </cell>
          <cell r="O35" t="str">
            <v>0202</v>
          </cell>
          <cell r="U35" t="str">
            <v>01311035</v>
          </cell>
          <cell r="W35" t="str">
            <v>DN</v>
          </cell>
        </row>
        <row r="36">
          <cell r="H36">
            <v>4600000000</v>
          </cell>
          <cell r="O36" t="str">
            <v>0401</v>
          </cell>
          <cell r="U36" t="str">
            <v>79311006</v>
          </cell>
          <cell r="W36" t="str">
            <v>DN</v>
          </cell>
        </row>
        <row r="37">
          <cell r="H37">
            <v>26291700000</v>
          </cell>
          <cell r="O37" t="str">
            <v>0401</v>
          </cell>
          <cell r="U37" t="str">
            <v>79311006</v>
          </cell>
          <cell r="W37" t="str">
            <v>DN</v>
          </cell>
        </row>
        <row r="38">
          <cell r="H38">
            <v>140000000</v>
          </cell>
          <cell r="O38" t="str">
            <v>0401</v>
          </cell>
          <cell r="U38" t="str">
            <v>51311001</v>
          </cell>
          <cell r="W38" t="str">
            <v>CN</v>
          </cell>
        </row>
        <row r="39">
          <cell r="H39">
            <v>921411000</v>
          </cell>
          <cell r="O39" t="str">
            <v>0202</v>
          </cell>
          <cell r="U39" t="str">
            <v>01311014</v>
          </cell>
          <cell r="W39" t="str">
            <v>CN</v>
          </cell>
        </row>
        <row r="40">
          <cell r="H40">
            <v>155450000</v>
          </cell>
          <cell r="O40" t="str">
            <v>0402</v>
          </cell>
          <cell r="U40" t="str">
            <v>79311005</v>
          </cell>
          <cell r="W40" t="str">
            <v>HTX</v>
          </cell>
        </row>
        <row r="41">
          <cell r="H41">
            <v>742000000</v>
          </cell>
          <cell r="O41" t="str">
            <v>0402</v>
          </cell>
          <cell r="U41" t="str">
            <v>36311001</v>
          </cell>
          <cell r="W41" t="str">
            <v>HTX</v>
          </cell>
        </row>
        <row r="42">
          <cell r="H42">
            <v>529200000</v>
          </cell>
          <cell r="O42" t="str">
            <v>0202</v>
          </cell>
          <cell r="U42" t="str">
            <v>01311007</v>
          </cell>
          <cell r="W42" t="str">
            <v>DN</v>
          </cell>
        </row>
        <row r="43">
          <cell r="H43">
            <v>1200255000</v>
          </cell>
          <cell r="O43" t="str">
            <v>0202</v>
          </cell>
          <cell r="U43" t="str">
            <v>01311007</v>
          </cell>
          <cell r="W43" t="str">
            <v>DN</v>
          </cell>
        </row>
        <row r="44">
          <cell r="H44">
            <v>803000000</v>
          </cell>
          <cell r="O44" t="str">
            <v>0202</v>
          </cell>
          <cell r="U44" t="str">
            <v>01311007</v>
          </cell>
          <cell r="W44" t="str">
            <v>DN</v>
          </cell>
        </row>
        <row r="45">
          <cell r="H45">
            <v>10000000000</v>
          </cell>
          <cell r="O45" t="str">
            <v>0101</v>
          </cell>
          <cell r="U45" t="str">
            <v>64311001</v>
          </cell>
          <cell r="W45" t="str">
            <v>DN</v>
          </cell>
        </row>
        <row r="46">
          <cell r="H46">
            <v>1103890084</v>
          </cell>
          <cell r="O46" t="str">
            <v>0202</v>
          </cell>
          <cell r="U46" t="str">
            <v>40311001</v>
          </cell>
          <cell r="W46" t="str">
            <v>CN</v>
          </cell>
        </row>
        <row r="47">
          <cell r="H47">
            <v>632657295</v>
          </cell>
          <cell r="O47" t="str">
            <v>0202</v>
          </cell>
          <cell r="U47" t="str">
            <v>40311001</v>
          </cell>
          <cell r="W47" t="str">
            <v>CN</v>
          </cell>
        </row>
        <row r="48">
          <cell r="H48">
            <v>1523681793</v>
          </cell>
          <cell r="O48" t="str">
            <v>0401</v>
          </cell>
          <cell r="U48" t="str">
            <v>01311037</v>
          </cell>
          <cell r="W48" t="str">
            <v>DN</v>
          </cell>
        </row>
        <row r="49">
          <cell r="H49">
            <v>1046891890</v>
          </cell>
          <cell r="O49" t="str">
            <v>0401</v>
          </cell>
          <cell r="U49" t="str">
            <v>01311037</v>
          </cell>
          <cell r="W49" t="str">
            <v>DN</v>
          </cell>
        </row>
        <row r="50">
          <cell r="H50">
            <v>179634653</v>
          </cell>
          <cell r="O50" t="str">
            <v>0401</v>
          </cell>
          <cell r="U50" t="str">
            <v>01311006</v>
          </cell>
          <cell r="W50" t="str">
            <v>DN</v>
          </cell>
        </row>
        <row r="51">
          <cell r="H51">
            <v>240000000</v>
          </cell>
          <cell r="O51" t="str">
            <v>0401</v>
          </cell>
          <cell r="U51" t="str">
            <v>01311037</v>
          </cell>
          <cell r="W51" t="str">
            <v>DN</v>
          </cell>
        </row>
        <row r="52">
          <cell r="H52">
            <v>865176166</v>
          </cell>
          <cell r="O52" t="str">
            <v>0401</v>
          </cell>
          <cell r="U52" t="str">
            <v>01311037</v>
          </cell>
          <cell r="W52" t="str">
            <v>DN</v>
          </cell>
        </row>
        <row r="53">
          <cell r="H53">
            <v>6000000000</v>
          </cell>
          <cell r="O53" t="str">
            <v>0101</v>
          </cell>
          <cell r="U53" t="str">
            <v>64311001</v>
          </cell>
          <cell r="W53" t="str">
            <v>DN</v>
          </cell>
        </row>
        <row r="54">
          <cell r="H54">
            <v>9000000000</v>
          </cell>
          <cell r="O54" t="str">
            <v>0101</v>
          </cell>
          <cell r="U54" t="str">
            <v>64311001</v>
          </cell>
          <cell r="W54" t="str">
            <v>DN</v>
          </cell>
        </row>
        <row r="55">
          <cell r="H55">
            <v>17500000000</v>
          </cell>
          <cell r="O55" t="str">
            <v>0101</v>
          </cell>
          <cell r="U55" t="str">
            <v>64311001</v>
          </cell>
          <cell r="W55" t="str">
            <v>DN</v>
          </cell>
        </row>
        <row r="56">
          <cell r="H56">
            <v>8000000000</v>
          </cell>
          <cell r="O56" t="str">
            <v>0101</v>
          </cell>
          <cell r="U56" t="str">
            <v>64311001</v>
          </cell>
          <cell r="W56" t="str">
            <v>DN</v>
          </cell>
        </row>
        <row r="57">
          <cell r="H57">
            <v>6500000000</v>
          </cell>
          <cell r="O57" t="str">
            <v>0101</v>
          </cell>
          <cell r="U57" t="str">
            <v>64311001</v>
          </cell>
          <cell r="W57" t="str">
            <v>DN</v>
          </cell>
        </row>
        <row r="58">
          <cell r="H58">
            <v>905761837</v>
          </cell>
          <cell r="O58" t="str">
            <v>0401</v>
          </cell>
          <cell r="U58" t="str">
            <v>27311001</v>
          </cell>
          <cell r="W58" t="str">
            <v>DN</v>
          </cell>
        </row>
        <row r="59">
          <cell r="H59">
            <v>925392000</v>
          </cell>
          <cell r="O59" t="str">
            <v>0401</v>
          </cell>
          <cell r="U59" t="str">
            <v>27311001</v>
          </cell>
          <cell r="W59" t="str">
            <v>DN</v>
          </cell>
        </row>
        <row r="60">
          <cell r="H60">
            <v>1830053211</v>
          </cell>
          <cell r="O60" t="str">
            <v>0401</v>
          </cell>
          <cell r="U60" t="str">
            <v>27311001</v>
          </cell>
          <cell r="W60" t="str">
            <v>DN</v>
          </cell>
        </row>
        <row r="61">
          <cell r="H61">
            <v>1073815000</v>
          </cell>
          <cell r="O61" t="str">
            <v>0401</v>
          </cell>
          <cell r="U61" t="str">
            <v>27311001</v>
          </cell>
          <cell r="W61" t="str">
            <v>DN</v>
          </cell>
        </row>
        <row r="62">
          <cell r="H62">
            <v>740459160</v>
          </cell>
          <cell r="O62" t="str">
            <v>0202</v>
          </cell>
          <cell r="U62" t="str">
            <v>79311007</v>
          </cell>
          <cell r="W62" t="str">
            <v>DN</v>
          </cell>
        </row>
        <row r="63">
          <cell r="H63">
            <v>350728920</v>
          </cell>
          <cell r="O63" t="str">
            <v>0202</v>
          </cell>
          <cell r="U63" t="str">
            <v>79311007</v>
          </cell>
          <cell r="W63" t="str">
            <v>DN</v>
          </cell>
        </row>
        <row r="64">
          <cell r="H64">
            <v>520363440</v>
          </cell>
          <cell r="O64" t="str">
            <v>0202</v>
          </cell>
          <cell r="U64" t="str">
            <v>79311007</v>
          </cell>
          <cell r="W64" t="str">
            <v>DN</v>
          </cell>
        </row>
        <row r="65">
          <cell r="H65">
            <v>712540440</v>
          </cell>
          <cell r="O65" t="str">
            <v>0202</v>
          </cell>
          <cell r="U65" t="str">
            <v>79311007</v>
          </cell>
          <cell r="W65" t="str">
            <v>DN</v>
          </cell>
        </row>
        <row r="66">
          <cell r="H66">
            <v>733007880</v>
          </cell>
          <cell r="O66" t="str">
            <v>0202</v>
          </cell>
          <cell r="U66" t="str">
            <v>79311007</v>
          </cell>
          <cell r="W66" t="str">
            <v>DN</v>
          </cell>
        </row>
        <row r="67">
          <cell r="H67">
            <v>823012740</v>
          </cell>
          <cell r="O67" t="str">
            <v>0202</v>
          </cell>
          <cell r="U67" t="str">
            <v>79311007</v>
          </cell>
          <cell r="W67" t="str">
            <v>DN</v>
          </cell>
        </row>
        <row r="68">
          <cell r="H68">
            <v>935937360</v>
          </cell>
          <cell r="O68" t="str">
            <v>0202</v>
          </cell>
          <cell r="U68" t="str">
            <v>79311007</v>
          </cell>
          <cell r="W68" t="str">
            <v>DN</v>
          </cell>
        </row>
        <row r="69">
          <cell r="H69">
            <v>725627340</v>
          </cell>
          <cell r="O69" t="str">
            <v>0202</v>
          </cell>
          <cell r="U69" t="str">
            <v>79311007</v>
          </cell>
          <cell r="W69" t="str">
            <v>DN</v>
          </cell>
        </row>
        <row r="70">
          <cell r="H70">
            <v>747203040</v>
          </cell>
          <cell r="O70" t="str">
            <v>0202</v>
          </cell>
          <cell r="U70" t="str">
            <v>79311007</v>
          </cell>
          <cell r="W70" t="str">
            <v>DN</v>
          </cell>
        </row>
        <row r="71">
          <cell r="H71">
            <v>285747156</v>
          </cell>
          <cell r="O71" t="str">
            <v>0202</v>
          </cell>
          <cell r="U71" t="str">
            <v>79311007</v>
          </cell>
          <cell r="W71" t="str">
            <v>DN</v>
          </cell>
        </row>
        <row r="72">
          <cell r="H72">
            <v>1403078250</v>
          </cell>
          <cell r="O72" t="str">
            <v>0401</v>
          </cell>
          <cell r="U72" t="str">
            <v>64311001</v>
          </cell>
          <cell r="W72" t="str">
            <v>DN</v>
          </cell>
        </row>
        <row r="73">
          <cell r="H73">
            <v>876752739</v>
          </cell>
          <cell r="O73" t="str">
            <v>0202</v>
          </cell>
          <cell r="U73" t="str">
            <v>79311007</v>
          </cell>
          <cell r="W73" t="str">
            <v>DN</v>
          </cell>
        </row>
        <row r="74">
          <cell r="H74">
            <v>382245000</v>
          </cell>
          <cell r="O74" t="str">
            <v>0401</v>
          </cell>
          <cell r="U74" t="str">
            <v>66311001</v>
          </cell>
          <cell r="W74" t="str">
            <v>DN</v>
          </cell>
        </row>
        <row r="75">
          <cell r="H75">
            <v>5230911900</v>
          </cell>
          <cell r="O75" t="str">
            <v>0401</v>
          </cell>
          <cell r="U75" t="str">
            <v>66311001</v>
          </cell>
          <cell r="W75" t="str">
            <v>DN</v>
          </cell>
        </row>
        <row r="76">
          <cell r="H76">
            <v>600000000</v>
          </cell>
          <cell r="O76" t="str">
            <v>0401</v>
          </cell>
          <cell r="U76" t="str">
            <v>45311001</v>
          </cell>
          <cell r="W76" t="str">
            <v>CN</v>
          </cell>
        </row>
        <row r="77">
          <cell r="H77">
            <v>309522000</v>
          </cell>
          <cell r="O77" t="str">
            <v>0403</v>
          </cell>
          <cell r="U77" t="str">
            <v>01311037</v>
          </cell>
          <cell r="W77" t="str">
            <v>CN</v>
          </cell>
        </row>
        <row r="78">
          <cell r="H78">
            <v>104040000</v>
          </cell>
          <cell r="O78" t="str">
            <v>0202</v>
          </cell>
          <cell r="U78" t="str">
            <v>01311009</v>
          </cell>
          <cell r="W78" t="str">
            <v>DN</v>
          </cell>
        </row>
        <row r="79">
          <cell r="H79">
            <v>400000000</v>
          </cell>
          <cell r="O79" t="str">
            <v>0401</v>
          </cell>
          <cell r="U79" t="str">
            <v>45311001</v>
          </cell>
          <cell r="W79" t="str">
            <v>CN</v>
          </cell>
        </row>
        <row r="80">
          <cell r="H80">
            <v>1254605419</v>
          </cell>
          <cell r="O80" t="str">
            <v>0202</v>
          </cell>
          <cell r="U80" t="str">
            <v>40311001</v>
          </cell>
          <cell r="W80" t="str">
            <v>CN</v>
          </cell>
        </row>
        <row r="81">
          <cell r="H81">
            <v>1000000000</v>
          </cell>
          <cell r="O81" t="str">
            <v>0202</v>
          </cell>
          <cell r="U81" t="str">
            <v>51311001</v>
          </cell>
          <cell r="W81" t="str">
            <v>CN</v>
          </cell>
        </row>
        <row r="82">
          <cell r="H82">
            <v>354000000</v>
          </cell>
          <cell r="O82" t="str">
            <v>0401</v>
          </cell>
          <cell r="U82" t="str">
            <v>01311037</v>
          </cell>
          <cell r="W82" t="str">
            <v>DN</v>
          </cell>
        </row>
        <row r="83">
          <cell r="H83">
            <v>1666522614</v>
          </cell>
          <cell r="O83" t="str">
            <v>0401</v>
          </cell>
          <cell r="U83" t="str">
            <v>01311037</v>
          </cell>
          <cell r="W83" t="str">
            <v>DN</v>
          </cell>
        </row>
        <row r="84">
          <cell r="H84">
            <v>1000000000</v>
          </cell>
          <cell r="O84" t="str">
            <v>0401</v>
          </cell>
          <cell r="U84" t="str">
            <v>52311001</v>
          </cell>
          <cell r="W84" t="str">
            <v>CN</v>
          </cell>
        </row>
        <row r="85">
          <cell r="H85">
            <v>700000000</v>
          </cell>
          <cell r="O85" t="str">
            <v>0202</v>
          </cell>
          <cell r="U85" t="str">
            <v>40311001</v>
          </cell>
          <cell r="W85" t="str">
            <v>CN</v>
          </cell>
        </row>
        <row r="86">
          <cell r="H86">
            <v>1056705200</v>
          </cell>
          <cell r="O86" t="str">
            <v>0202</v>
          </cell>
          <cell r="U86" t="str">
            <v>40311001</v>
          </cell>
          <cell r="W86" t="str">
            <v>CN</v>
          </cell>
        </row>
        <row r="87">
          <cell r="H87">
            <v>132189480</v>
          </cell>
          <cell r="O87" t="str">
            <v>0202</v>
          </cell>
          <cell r="U87" t="str">
            <v>40311001</v>
          </cell>
          <cell r="W87" t="str">
            <v>CN</v>
          </cell>
        </row>
        <row r="88">
          <cell r="H88">
            <v>1754230000</v>
          </cell>
          <cell r="O88" t="str">
            <v>0401</v>
          </cell>
          <cell r="U88" t="str">
            <v>56311001</v>
          </cell>
          <cell r="W88" t="str">
            <v>DN</v>
          </cell>
        </row>
        <row r="89">
          <cell r="H89">
            <v>155729530</v>
          </cell>
          <cell r="O89" t="str">
            <v>0401</v>
          </cell>
          <cell r="U89" t="str">
            <v>01311037</v>
          </cell>
          <cell r="W89" t="str">
            <v>DN</v>
          </cell>
        </row>
        <row r="90">
          <cell r="H90">
            <v>405039580</v>
          </cell>
          <cell r="O90" t="str">
            <v>0401</v>
          </cell>
          <cell r="U90" t="str">
            <v>01311037</v>
          </cell>
          <cell r="W90" t="str">
            <v>DN</v>
          </cell>
        </row>
        <row r="91">
          <cell r="H91">
            <v>356000000</v>
          </cell>
          <cell r="O91" t="str">
            <v>0401</v>
          </cell>
          <cell r="U91" t="str">
            <v>01311037</v>
          </cell>
          <cell r="W91" t="str">
            <v>DN</v>
          </cell>
        </row>
        <row r="92">
          <cell r="H92">
            <v>1785979665</v>
          </cell>
          <cell r="O92" t="str">
            <v>0401</v>
          </cell>
          <cell r="U92" t="str">
            <v>01311037</v>
          </cell>
          <cell r="W92" t="str">
            <v>DN</v>
          </cell>
        </row>
        <row r="93">
          <cell r="H93">
            <v>529216060</v>
          </cell>
          <cell r="O93" t="str">
            <v>0202</v>
          </cell>
          <cell r="U93" t="str">
            <v>01311008</v>
          </cell>
          <cell r="W93" t="str">
            <v>DN</v>
          </cell>
        </row>
        <row r="94">
          <cell r="H94">
            <v>696647270</v>
          </cell>
          <cell r="O94" t="str">
            <v>0202</v>
          </cell>
          <cell r="U94" t="str">
            <v>01311008</v>
          </cell>
          <cell r="W94" t="str">
            <v>DN</v>
          </cell>
        </row>
        <row r="95">
          <cell r="H95">
            <v>1583238506</v>
          </cell>
          <cell r="O95" t="str">
            <v>0401</v>
          </cell>
          <cell r="U95" t="str">
            <v>01311006</v>
          </cell>
          <cell r="W95" t="str">
            <v>DN</v>
          </cell>
        </row>
        <row r="96">
          <cell r="H96">
            <v>2641229910</v>
          </cell>
          <cell r="O96" t="str">
            <v>0401</v>
          </cell>
          <cell r="U96" t="str">
            <v>01311006</v>
          </cell>
          <cell r="W96" t="str">
            <v>DN</v>
          </cell>
        </row>
        <row r="97">
          <cell r="H97">
            <v>1000000000</v>
          </cell>
          <cell r="O97" t="str">
            <v>0401</v>
          </cell>
          <cell r="U97" t="str">
            <v>17311001</v>
          </cell>
          <cell r="W97" t="str">
            <v>CN</v>
          </cell>
        </row>
        <row r="98">
          <cell r="H98">
            <v>2000000000</v>
          </cell>
          <cell r="O98" t="str">
            <v>0401</v>
          </cell>
          <cell r="U98" t="str">
            <v>17311001</v>
          </cell>
          <cell r="W98" t="str">
            <v>CN</v>
          </cell>
        </row>
        <row r="99">
          <cell r="H99">
            <v>300000000</v>
          </cell>
          <cell r="O99" t="str">
            <v>0101</v>
          </cell>
          <cell r="U99" t="str">
            <v>66311001</v>
          </cell>
          <cell r="W99" t="str">
            <v>CN</v>
          </cell>
        </row>
        <row r="100">
          <cell r="H100">
            <v>2526034750</v>
          </cell>
          <cell r="O100" t="str">
            <v>0401</v>
          </cell>
          <cell r="U100" t="str">
            <v>01311006</v>
          </cell>
          <cell r="W100" t="str">
            <v>DN</v>
          </cell>
        </row>
        <row r="101">
          <cell r="H101">
            <v>340000000</v>
          </cell>
          <cell r="O101" t="str">
            <v>0401</v>
          </cell>
          <cell r="U101" t="str">
            <v>19311001</v>
          </cell>
          <cell r="W101" t="str">
            <v>CN</v>
          </cell>
        </row>
        <row r="102">
          <cell r="H102">
            <v>2186939357</v>
          </cell>
          <cell r="O102" t="str">
            <v>0401</v>
          </cell>
          <cell r="U102" t="str">
            <v>01311006</v>
          </cell>
          <cell r="W102" t="str">
            <v>DN</v>
          </cell>
        </row>
        <row r="103">
          <cell r="H103">
            <v>370000000</v>
          </cell>
          <cell r="O103" t="str">
            <v>0401</v>
          </cell>
          <cell r="U103" t="str">
            <v>51311001</v>
          </cell>
          <cell r="W103" t="str">
            <v>CN</v>
          </cell>
        </row>
        <row r="104">
          <cell r="H104">
            <v>430000000</v>
          </cell>
          <cell r="O104" t="str">
            <v>0401</v>
          </cell>
          <cell r="U104" t="str">
            <v>51311001</v>
          </cell>
          <cell r="W104" t="str">
            <v>CN</v>
          </cell>
        </row>
        <row r="105">
          <cell r="H105">
            <v>3350000000</v>
          </cell>
          <cell r="O105" t="str">
            <v>0401</v>
          </cell>
          <cell r="U105" t="str">
            <v>31311001</v>
          </cell>
          <cell r="W105" t="str">
            <v>DN</v>
          </cell>
        </row>
        <row r="106">
          <cell r="H106">
            <v>116375000</v>
          </cell>
          <cell r="O106" t="str">
            <v>0402</v>
          </cell>
          <cell r="U106" t="str">
            <v>31311002</v>
          </cell>
          <cell r="W106" t="str">
            <v>DN</v>
          </cell>
        </row>
        <row r="107">
          <cell r="H107">
            <v>90000000</v>
          </cell>
          <cell r="O107" t="str">
            <v>0401</v>
          </cell>
          <cell r="U107" t="str">
            <v>38311001</v>
          </cell>
          <cell r="W107" t="str">
            <v>CN</v>
          </cell>
        </row>
        <row r="108">
          <cell r="H108">
            <v>2769674985</v>
          </cell>
          <cell r="O108" t="str">
            <v>0401</v>
          </cell>
          <cell r="U108" t="str">
            <v>01311004</v>
          </cell>
          <cell r="W108" t="str">
            <v>DN</v>
          </cell>
        </row>
        <row r="109">
          <cell r="H109">
            <v>1274635913</v>
          </cell>
          <cell r="O109" t="str">
            <v>0401</v>
          </cell>
          <cell r="U109" t="str">
            <v>01311004</v>
          </cell>
          <cell r="W109" t="str">
            <v>DN</v>
          </cell>
        </row>
        <row r="110">
          <cell r="H110">
            <v>279354000</v>
          </cell>
          <cell r="O110" t="str">
            <v>0401</v>
          </cell>
          <cell r="U110" t="str">
            <v>01311004</v>
          </cell>
          <cell r="W110" t="str">
            <v>DN</v>
          </cell>
        </row>
        <row r="111">
          <cell r="H111">
            <v>2842204396</v>
          </cell>
          <cell r="O111" t="str">
            <v>0401</v>
          </cell>
          <cell r="U111" t="str">
            <v>01311004</v>
          </cell>
          <cell r="W111" t="str">
            <v>DN</v>
          </cell>
        </row>
        <row r="112">
          <cell r="H112">
            <v>2954758000</v>
          </cell>
          <cell r="O112" t="str">
            <v>0401</v>
          </cell>
          <cell r="U112" t="str">
            <v>01311004</v>
          </cell>
          <cell r="W112" t="str">
            <v>DN</v>
          </cell>
        </row>
        <row r="113">
          <cell r="H113">
            <v>2536580092</v>
          </cell>
          <cell r="O113" t="str">
            <v>0401</v>
          </cell>
          <cell r="U113" t="str">
            <v>01311004</v>
          </cell>
          <cell r="W113" t="str">
            <v>DN</v>
          </cell>
        </row>
        <row r="114">
          <cell r="H114">
            <v>1709863311</v>
          </cell>
          <cell r="O114" t="str">
            <v>0401</v>
          </cell>
          <cell r="U114" t="str">
            <v>01311004</v>
          </cell>
          <cell r="W114" t="str">
            <v>DN</v>
          </cell>
        </row>
        <row r="115">
          <cell r="H115">
            <v>5528050000</v>
          </cell>
          <cell r="O115" t="str">
            <v>0402</v>
          </cell>
          <cell r="U115" t="str">
            <v>48311001</v>
          </cell>
          <cell r="W115" t="str">
            <v>DN</v>
          </cell>
        </row>
        <row r="116">
          <cell r="H116">
            <v>2452000000</v>
          </cell>
          <cell r="O116" t="str">
            <v>0402</v>
          </cell>
          <cell r="U116" t="str">
            <v>48311001</v>
          </cell>
          <cell r="W116" t="str">
            <v>DN</v>
          </cell>
        </row>
        <row r="117">
          <cell r="H117">
            <v>1636790308</v>
          </cell>
          <cell r="O117" t="str">
            <v>0401</v>
          </cell>
          <cell r="U117" t="str">
            <v>01311004</v>
          </cell>
          <cell r="W117" t="str">
            <v>DN</v>
          </cell>
        </row>
        <row r="118">
          <cell r="H118">
            <v>2332777500</v>
          </cell>
          <cell r="O118" t="str">
            <v>0401</v>
          </cell>
          <cell r="U118" t="str">
            <v>01311004</v>
          </cell>
          <cell r="W118" t="str">
            <v>DN</v>
          </cell>
        </row>
        <row r="119">
          <cell r="H119">
            <v>1659091843</v>
          </cell>
          <cell r="O119" t="str">
            <v>0401</v>
          </cell>
          <cell r="U119" t="str">
            <v>01311004</v>
          </cell>
          <cell r="W119" t="str">
            <v>DN</v>
          </cell>
        </row>
        <row r="120">
          <cell r="H120">
            <v>1418333341</v>
          </cell>
          <cell r="O120" t="str">
            <v>0202</v>
          </cell>
          <cell r="U120" t="str">
            <v>01311004</v>
          </cell>
          <cell r="W120" t="str">
            <v>DN</v>
          </cell>
        </row>
        <row r="121">
          <cell r="H121">
            <v>3138302965</v>
          </cell>
          <cell r="O121" t="str">
            <v>0401</v>
          </cell>
          <cell r="U121" t="str">
            <v>31311001</v>
          </cell>
          <cell r="W121" t="str">
            <v>DN</v>
          </cell>
        </row>
        <row r="122">
          <cell r="H122">
            <v>1322107325</v>
          </cell>
          <cell r="O122" t="str">
            <v>0401</v>
          </cell>
          <cell r="U122" t="str">
            <v>31311001</v>
          </cell>
          <cell r="W122" t="str">
            <v>DN</v>
          </cell>
        </row>
        <row r="123">
          <cell r="H123">
            <v>395726000</v>
          </cell>
          <cell r="O123" t="str">
            <v>0401</v>
          </cell>
          <cell r="U123" t="str">
            <v>31311001</v>
          </cell>
          <cell r="W123" t="str">
            <v>DN</v>
          </cell>
        </row>
        <row r="124">
          <cell r="H124">
            <v>1208000000</v>
          </cell>
          <cell r="O124" t="str">
            <v>0401</v>
          </cell>
          <cell r="U124" t="str">
            <v>31311001</v>
          </cell>
          <cell r="W124" t="str">
            <v>DN</v>
          </cell>
        </row>
        <row r="125">
          <cell r="H125">
            <v>785708290</v>
          </cell>
          <cell r="O125" t="str">
            <v>0401</v>
          </cell>
          <cell r="U125" t="str">
            <v>96311001</v>
          </cell>
          <cell r="W125" t="str">
            <v>DN</v>
          </cell>
        </row>
        <row r="126">
          <cell r="H126">
            <v>483000000</v>
          </cell>
          <cell r="O126" t="str">
            <v>0401</v>
          </cell>
          <cell r="U126" t="str">
            <v>96311001</v>
          </cell>
          <cell r="W126" t="str">
            <v>DN</v>
          </cell>
        </row>
        <row r="127">
          <cell r="H127">
            <v>894250000</v>
          </cell>
          <cell r="O127" t="str">
            <v>0401</v>
          </cell>
          <cell r="U127" t="str">
            <v>96311001</v>
          </cell>
          <cell r="W127" t="str">
            <v>DN</v>
          </cell>
        </row>
        <row r="128">
          <cell r="H128">
            <v>465095019</v>
          </cell>
          <cell r="O128" t="str">
            <v>0401</v>
          </cell>
          <cell r="U128" t="str">
            <v>96311001</v>
          </cell>
          <cell r="W128" t="str">
            <v>DN</v>
          </cell>
        </row>
        <row r="129">
          <cell r="H129">
            <v>513014700</v>
          </cell>
          <cell r="O129" t="str">
            <v>0401</v>
          </cell>
          <cell r="U129" t="str">
            <v>96311001</v>
          </cell>
          <cell r="W129" t="str">
            <v>DN</v>
          </cell>
        </row>
        <row r="130">
          <cell r="H130">
            <v>2575176800</v>
          </cell>
          <cell r="O130" t="str">
            <v>0401</v>
          </cell>
          <cell r="U130" t="str">
            <v>96311001</v>
          </cell>
          <cell r="W130" t="str">
            <v>DN</v>
          </cell>
        </row>
        <row r="131">
          <cell r="H131">
            <v>564676365</v>
          </cell>
          <cell r="O131" t="str">
            <v>0401</v>
          </cell>
          <cell r="U131" t="str">
            <v>96311001</v>
          </cell>
          <cell r="W131" t="str">
            <v>DN</v>
          </cell>
        </row>
        <row r="132">
          <cell r="H132">
            <v>500000000</v>
          </cell>
          <cell r="O132" t="str">
            <v>0401</v>
          </cell>
          <cell r="U132" t="str">
            <v>01311034</v>
          </cell>
          <cell r="W132" t="str">
            <v>CN</v>
          </cell>
        </row>
        <row r="133">
          <cell r="H133">
            <v>753338000</v>
          </cell>
          <cell r="O133" t="str">
            <v>0401</v>
          </cell>
          <cell r="U133" t="str">
            <v>01311034</v>
          </cell>
          <cell r="W133" t="str">
            <v>CN</v>
          </cell>
        </row>
        <row r="134">
          <cell r="H134">
            <v>161924400</v>
          </cell>
          <cell r="O134" t="str">
            <v>0401</v>
          </cell>
          <cell r="U134" t="str">
            <v>01311004</v>
          </cell>
          <cell r="W134" t="str">
            <v>DN</v>
          </cell>
        </row>
        <row r="135">
          <cell r="H135">
            <v>4064902682</v>
          </cell>
          <cell r="O135" t="str">
            <v>0402</v>
          </cell>
          <cell r="U135" t="str">
            <v>74311001</v>
          </cell>
          <cell r="W135" t="str">
            <v>DN</v>
          </cell>
        </row>
        <row r="136">
          <cell r="H136">
            <v>1500000000</v>
          </cell>
          <cell r="O136" t="str">
            <v>0401</v>
          </cell>
          <cell r="U136" t="str">
            <v>01311002</v>
          </cell>
          <cell r="W136" t="str">
            <v>DN</v>
          </cell>
        </row>
        <row r="137">
          <cell r="H137">
            <v>2000000000</v>
          </cell>
          <cell r="O137" t="str">
            <v>0401</v>
          </cell>
          <cell r="U137" t="str">
            <v>01311002</v>
          </cell>
          <cell r="W137" t="str">
            <v>DN</v>
          </cell>
        </row>
        <row r="138">
          <cell r="H138">
            <v>82000000</v>
          </cell>
          <cell r="O138" t="str">
            <v>0401</v>
          </cell>
          <cell r="U138" t="str">
            <v>01311033</v>
          </cell>
          <cell r="W138" t="str">
            <v>DN</v>
          </cell>
        </row>
        <row r="139">
          <cell r="H139">
            <v>488250000</v>
          </cell>
          <cell r="O139" t="str">
            <v>0202</v>
          </cell>
          <cell r="U139" t="str">
            <v>01311033</v>
          </cell>
          <cell r="W139" t="str">
            <v>DN</v>
          </cell>
        </row>
        <row r="140">
          <cell r="H140">
            <v>250000000</v>
          </cell>
          <cell r="O140" t="str">
            <v>0401</v>
          </cell>
          <cell r="U140" t="str">
            <v>37311001</v>
          </cell>
          <cell r="W140" t="str">
            <v>DN</v>
          </cell>
        </row>
        <row r="141">
          <cell r="H141">
            <v>500000000</v>
          </cell>
          <cell r="O141" t="str">
            <v>0401</v>
          </cell>
          <cell r="U141" t="str">
            <v>27311001</v>
          </cell>
          <cell r="W141" t="str">
            <v>CN</v>
          </cell>
        </row>
        <row r="142">
          <cell r="H142">
            <v>110000000</v>
          </cell>
          <cell r="O142" t="str">
            <v>0401</v>
          </cell>
          <cell r="U142" t="str">
            <v>01311005</v>
          </cell>
          <cell r="W142" t="str">
            <v>DN</v>
          </cell>
        </row>
        <row r="143">
          <cell r="H143">
            <v>242352000</v>
          </cell>
          <cell r="O143" t="str">
            <v>0401</v>
          </cell>
          <cell r="U143" t="str">
            <v>46311001</v>
          </cell>
          <cell r="W143" t="str">
            <v>DN</v>
          </cell>
        </row>
        <row r="144">
          <cell r="H144">
            <v>632567942</v>
          </cell>
          <cell r="O144" t="str">
            <v>0401</v>
          </cell>
          <cell r="U144" t="str">
            <v>46311001</v>
          </cell>
          <cell r="W144" t="str">
            <v>DN</v>
          </cell>
        </row>
        <row r="145">
          <cell r="H145">
            <v>83820000</v>
          </cell>
          <cell r="O145" t="str">
            <v>0401</v>
          </cell>
          <cell r="U145" t="str">
            <v>01311010</v>
          </cell>
          <cell r="W145" t="str">
            <v>DN</v>
          </cell>
        </row>
        <row r="146">
          <cell r="H146">
            <v>294400000</v>
          </cell>
          <cell r="O146" t="str">
            <v>0402</v>
          </cell>
          <cell r="U146" t="str">
            <v>01311002</v>
          </cell>
          <cell r="W146" t="str">
            <v>DN</v>
          </cell>
        </row>
        <row r="147">
          <cell r="H147">
            <v>133328000</v>
          </cell>
          <cell r="O147" t="str">
            <v>0401</v>
          </cell>
          <cell r="U147" t="str">
            <v>89311001</v>
          </cell>
          <cell r="W147" t="str">
            <v>CN</v>
          </cell>
        </row>
        <row r="148">
          <cell r="H148">
            <v>450000000</v>
          </cell>
          <cell r="O148" t="str">
            <v>0401</v>
          </cell>
          <cell r="U148" t="str">
            <v>01311005</v>
          </cell>
          <cell r="W148" t="str">
            <v>CN</v>
          </cell>
        </row>
        <row r="149">
          <cell r="H149">
            <v>6000000000</v>
          </cell>
          <cell r="O149" t="str">
            <v>0401</v>
          </cell>
          <cell r="U149" t="str">
            <v>80311001</v>
          </cell>
          <cell r="W149" t="str">
            <v>DN</v>
          </cell>
        </row>
        <row r="150">
          <cell r="H150">
            <v>1000000000</v>
          </cell>
          <cell r="O150" t="str">
            <v>0401</v>
          </cell>
          <cell r="U150" t="str">
            <v>89311001</v>
          </cell>
          <cell r="W150" t="str">
            <v>CN</v>
          </cell>
        </row>
        <row r="151">
          <cell r="H151">
            <v>1500000000</v>
          </cell>
          <cell r="O151" t="str">
            <v>0401</v>
          </cell>
          <cell r="U151" t="str">
            <v>89311001</v>
          </cell>
          <cell r="W151" t="str">
            <v>CN</v>
          </cell>
        </row>
        <row r="152">
          <cell r="H152">
            <v>1333378390</v>
          </cell>
          <cell r="O152" t="str">
            <v>0403</v>
          </cell>
          <cell r="U152" t="str">
            <v>22311001</v>
          </cell>
          <cell r="W152" t="str">
            <v>DN</v>
          </cell>
        </row>
        <row r="153">
          <cell r="H153">
            <v>918750000</v>
          </cell>
          <cell r="O153" t="str">
            <v>0403</v>
          </cell>
          <cell r="U153" t="str">
            <v>22311001</v>
          </cell>
          <cell r="W153" t="str">
            <v>DN</v>
          </cell>
        </row>
        <row r="154">
          <cell r="H154">
            <v>2400000000</v>
          </cell>
          <cell r="O154" t="str">
            <v>0403</v>
          </cell>
          <cell r="U154" t="str">
            <v>22311001</v>
          </cell>
          <cell r="W154" t="str">
            <v>DN</v>
          </cell>
        </row>
        <row r="155">
          <cell r="H155">
            <v>1983000000</v>
          </cell>
          <cell r="O155" t="str">
            <v>0403</v>
          </cell>
          <cell r="U155" t="str">
            <v>22311001</v>
          </cell>
          <cell r="W155" t="str">
            <v>DN</v>
          </cell>
        </row>
        <row r="156">
          <cell r="H156">
            <v>791076000</v>
          </cell>
          <cell r="O156" t="str">
            <v>0403</v>
          </cell>
          <cell r="U156" t="str">
            <v>22311001</v>
          </cell>
          <cell r="W156" t="str">
            <v>DN</v>
          </cell>
        </row>
        <row r="157">
          <cell r="H157">
            <v>7000000000</v>
          </cell>
          <cell r="O157" t="str">
            <v>0401</v>
          </cell>
          <cell r="U157" t="str">
            <v>80311001</v>
          </cell>
          <cell r="W157" t="str">
            <v>DN</v>
          </cell>
        </row>
        <row r="158">
          <cell r="H158">
            <v>10073965500</v>
          </cell>
          <cell r="O158" t="str">
            <v>0401</v>
          </cell>
          <cell r="U158" t="str">
            <v>80311001</v>
          </cell>
          <cell r="W158" t="str">
            <v>DN</v>
          </cell>
        </row>
        <row r="159">
          <cell r="H159">
            <v>11082600000</v>
          </cell>
          <cell r="O159" t="str">
            <v>0401</v>
          </cell>
          <cell r="U159" t="str">
            <v>80311001</v>
          </cell>
          <cell r="W159" t="str">
            <v>DN</v>
          </cell>
        </row>
        <row r="160">
          <cell r="H160">
            <v>680500000</v>
          </cell>
          <cell r="O160" t="str">
            <v>0202</v>
          </cell>
          <cell r="U160" t="str">
            <v>79311005</v>
          </cell>
          <cell r="W160" t="str">
            <v>DN</v>
          </cell>
        </row>
        <row r="161">
          <cell r="H161">
            <v>598893400</v>
          </cell>
          <cell r="O161" t="str">
            <v>0202</v>
          </cell>
          <cell r="U161" t="str">
            <v>79311005</v>
          </cell>
          <cell r="W161" t="str">
            <v>DN</v>
          </cell>
        </row>
        <row r="162">
          <cell r="H162">
            <v>1000000000</v>
          </cell>
          <cell r="O162" t="str">
            <v>0202</v>
          </cell>
          <cell r="U162" t="str">
            <v>79311005</v>
          </cell>
          <cell r="W162" t="str">
            <v>DN</v>
          </cell>
        </row>
        <row r="163">
          <cell r="H163">
            <v>1206521754</v>
          </cell>
          <cell r="O163" t="str">
            <v>0202</v>
          </cell>
          <cell r="U163" t="str">
            <v>79311005</v>
          </cell>
          <cell r="W163" t="str">
            <v>DN</v>
          </cell>
        </row>
        <row r="164">
          <cell r="H164">
            <v>283130434</v>
          </cell>
          <cell r="O164" t="str">
            <v>0202</v>
          </cell>
          <cell r="U164" t="str">
            <v>79311005</v>
          </cell>
          <cell r="W164" t="str">
            <v>DN</v>
          </cell>
        </row>
        <row r="165">
          <cell r="H165">
            <v>580249636</v>
          </cell>
          <cell r="O165" t="str">
            <v>0401</v>
          </cell>
          <cell r="U165" t="str">
            <v>01311010</v>
          </cell>
          <cell r="W165" t="str">
            <v>DN</v>
          </cell>
        </row>
        <row r="166">
          <cell r="H166">
            <v>3165519701</v>
          </cell>
          <cell r="O166" t="str">
            <v>0202</v>
          </cell>
          <cell r="U166" t="str">
            <v>79311001</v>
          </cell>
          <cell r="W166" t="str">
            <v>DN</v>
          </cell>
        </row>
        <row r="167">
          <cell r="H167">
            <v>1204390795</v>
          </cell>
          <cell r="O167" t="str">
            <v>0202</v>
          </cell>
          <cell r="U167" t="str">
            <v>79311001</v>
          </cell>
          <cell r="W167" t="str">
            <v>DN</v>
          </cell>
        </row>
        <row r="168">
          <cell r="H168">
            <v>2577978593</v>
          </cell>
          <cell r="O168" t="str">
            <v>0202</v>
          </cell>
          <cell r="U168" t="str">
            <v>79311001</v>
          </cell>
          <cell r="W168" t="str">
            <v>DN</v>
          </cell>
        </row>
        <row r="169">
          <cell r="H169">
            <v>2600000000</v>
          </cell>
          <cell r="O169" t="str">
            <v>0401</v>
          </cell>
          <cell r="U169" t="str">
            <v>01311014</v>
          </cell>
          <cell r="W169" t="str">
            <v>CN</v>
          </cell>
        </row>
        <row r="170">
          <cell r="H170">
            <v>200000000</v>
          </cell>
          <cell r="O170" t="str">
            <v>0202</v>
          </cell>
          <cell r="U170" t="str">
            <v>19311001</v>
          </cell>
          <cell r="W170" t="str">
            <v>CN</v>
          </cell>
        </row>
        <row r="171">
          <cell r="H171">
            <v>1000000000</v>
          </cell>
          <cell r="O171" t="str">
            <v>0401</v>
          </cell>
          <cell r="U171" t="str">
            <v>48311002</v>
          </cell>
          <cell r="W171" t="str">
            <v>CN</v>
          </cell>
        </row>
        <row r="172">
          <cell r="H172">
            <v>200000000</v>
          </cell>
          <cell r="O172" t="str">
            <v>0401</v>
          </cell>
          <cell r="U172" t="str">
            <v>22311001</v>
          </cell>
          <cell r="W172" t="str">
            <v>CN</v>
          </cell>
        </row>
        <row r="173">
          <cell r="H173">
            <v>2000000000</v>
          </cell>
          <cell r="O173" t="str">
            <v>0202</v>
          </cell>
          <cell r="U173" t="str">
            <v>48311002</v>
          </cell>
          <cell r="W173" t="str">
            <v>CN</v>
          </cell>
        </row>
        <row r="174">
          <cell r="H174">
            <v>840450000</v>
          </cell>
          <cell r="O174" t="str">
            <v>0401</v>
          </cell>
          <cell r="U174" t="str">
            <v>27311001</v>
          </cell>
          <cell r="W174" t="str">
            <v>DN</v>
          </cell>
        </row>
        <row r="175">
          <cell r="H175">
            <v>319500000</v>
          </cell>
          <cell r="O175" t="str">
            <v>0401</v>
          </cell>
          <cell r="U175" t="str">
            <v>27311001</v>
          </cell>
          <cell r="W175" t="str">
            <v>DN</v>
          </cell>
        </row>
        <row r="176">
          <cell r="H176">
            <v>352800000</v>
          </cell>
          <cell r="O176" t="str">
            <v>0401</v>
          </cell>
          <cell r="U176" t="str">
            <v>27311001</v>
          </cell>
          <cell r="W176" t="str">
            <v>DN</v>
          </cell>
        </row>
        <row r="177">
          <cell r="H177">
            <v>444000000</v>
          </cell>
          <cell r="O177" t="str">
            <v>0401</v>
          </cell>
          <cell r="U177" t="str">
            <v>27311001</v>
          </cell>
          <cell r="W177" t="str">
            <v>DN</v>
          </cell>
        </row>
        <row r="178">
          <cell r="H178">
            <v>398000000</v>
          </cell>
          <cell r="O178" t="str">
            <v>0401</v>
          </cell>
          <cell r="U178" t="str">
            <v>27311001</v>
          </cell>
          <cell r="W178" t="str">
            <v>DN</v>
          </cell>
        </row>
        <row r="179">
          <cell r="H179">
            <v>1332000000</v>
          </cell>
          <cell r="O179" t="str">
            <v>0401</v>
          </cell>
          <cell r="U179" t="str">
            <v>27311001</v>
          </cell>
          <cell r="W179" t="str">
            <v>DN</v>
          </cell>
        </row>
        <row r="180">
          <cell r="H180">
            <v>220000000</v>
          </cell>
          <cell r="O180" t="str">
            <v>0101</v>
          </cell>
          <cell r="U180" t="str">
            <v>66311001</v>
          </cell>
          <cell r="W180" t="str">
            <v>CN</v>
          </cell>
        </row>
        <row r="181">
          <cell r="H181">
            <v>1923329285</v>
          </cell>
          <cell r="O181" t="str">
            <v>0202</v>
          </cell>
          <cell r="U181" t="str">
            <v>75311001</v>
          </cell>
          <cell r="W181" t="str">
            <v>DN</v>
          </cell>
        </row>
        <row r="182">
          <cell r="H182">
            <v>6979747152</v>
          </cell>
          <cell r="O182" t="str">
            <v>0202</v>
          </cell>
          <cell r="U182" t="str">
            <v>75311001</v>
          </cell>
          <cell r="W182" t="str">
            <v>DN</v>
          </cell>
        </row>
        <row r="183">
          <cell r="H183">
            <v>3191542488</v>
          </cell>
          <cell r="O183" t="str">
            <v>0202</v>
          </cell>
          <cell r="U183" t="str">
            <v>75311001</v>
          </cell>
          <cell r="W183" t="str">
            <v>DN</v>
          </cell>
        </row>
        <row r="184">
          <cell r="H184">
            <v>2062126179</v>
          </cell>
          <cell r="O184" t="str">
            <v>0202</v>
          </cell>
          <cell r="U184" t="str">
            <v>75311001</v>
          </cell>
          <cell r="W184" t="str">
            <v>DN</v>
          </cell>
        </row>
        <row r="185">
          <cell r="H185">
            <v>1869327173</v>
          </cell>
          <cell r="O185" t="str">
            <v>0202</v>
          </cell>
          <cell r="U185" t="str">
            <v>75311001</v>
          </cell>
          <cell r="W185" t="str">
            <v>DN</v>
          </cell>
        </row>
        <row r="186">
          <cell r="H186">
            <v>2745000000</v>
          </cell>
          <cell r="O186" t="str">
            <v>0401</v>
          </cell>
          <cell r="U186" t="str">
            <v>27311001</v>
          </cell>
          <cell r="W186" t="str">
            <v>DN</v>
          </cell>
        </row>
        <row r="187">
          <cell r="H187">
            <v>500000000</v>
          </cell>
          <cell r="O187" t="str">
            <v>0401</v>
          </cell>
          <cell r="U187" t="str">
            <v>89311001</v>
          </cell>
          <cell r="W187" t="str">
            <v>CN</v>
          </cell>
        </row>
        <row r="188">
          <cell r="H188">
            <v>1815073876</v>
          </cell>
          <cell r="O188" t="str">
            <v>0202</v>
          </cell>
          <cell r="U188" t="str">
            <v>75311001</v>
          </cell>
          <cell r="W188" t="str">
            <v>DN</v>
          </cell>
        </row>
        <row r="189">
          <cell r="H189">
            <v>1639041666</v>
          </cell>
          <cell r="O189" t="str">
            <v>0202</v>
          </cell>
          <cell r="U189" t="str">
            <v>75311001</v>
          </cell>
          <cell r="W189" t="str">
            <v>DN</v>
          </cell>
        </row>
        <row r="190">
          <cell r="H190">
            <v>6666957536</v>
          </cell>
          <cell r="O190" t="str">
            <v>0202</v>
          </cell>
          <cell r="U190" t="str">
            <v>75311001</v>
          </cell>
          <cell r="W190" t="str">
            <v>DN</v>
          </cell>
        </row>
        <row r="191">
          <cell r="H191">
            <v>99000000</v>
          </cell>
          <cell r="O191" t="str">
            <v>0202</v>
          </cell>
          <cell r="U191" t="str">
            <v>75311001</v>
          </cell>
          <cell r="W191" t="str">
            <v>DN</v>
          </cell>
        </row>
        <row r="192">
          <cell r="H192">
            <v>330000000</v>
          </cell>
          <cell r="O192" t="str">
            <v>0202</v>
          </cell>
          <cell r="U192" t="str">
            <v>75311001</v>
          </cell>
          <cell r="W192" t="str">
            <v>DN</v>
          </cell>
        </row>
        <row r="193">
          <cell r="H193">
            <v>918400000</v>
          </cell>
          <cell r="O193" t="str">
            <v>0202</v>
          </cell>
          <cell r="U193" t="str">
            <v>75311001</v>
          </cell>
          <cell r="W193" t="str">
            <v>DN</v>
          </cell>
        </row>
        <row r="194">
          <cell r="H194">
            <v>260000000</v>
          </cell>
          <cell r="O194" t="str">
            <v>0202</v>
          </cell>
          <cell r="U194" t="str">
            <v>19311001</v>
          </cell>
          <cell r="W194" t="str">
            <v>CN</v>
          </cell>
        </row>
        <row r="195">
          <cell r="H195">
            <v>375832100</v>
          </cell>
          <cell r="O195" t="str">
            <v>0401</v>
          </cell>
          <cell r="U195" t="str">
            <v>79311003</v>
          </cell>
          <cell r="W195" t="str">
            <v>DN</v>
          </cell>
        </row>
        <row r="196">
          <cell r="H196">
            <v>2015713800</v>
          </cell>
          <cell r="O196" t="str">
            <v>0401</v>
          </cell>
          <cell r="U196" t="str">
            <v>79311003</v>
          </cell>
          <cell r="W196" t="str">
            <v>DN</v>
          </cell>
        </row>
        <row r="197">
          <cell r="H197">
            <v>1006095000</v>
          </cell>
          <cell r="O197" t="str">
            <v>0401</v>
          </cell>
          <cell r="U197" t="str">
            <v>79311003</v>
          </cell>
          <cell r="W197" t="str">
            <v>DN</v>
          </cell>
        </row>
        <row r="198">
          <cell r="H198">
            <v>3170840000</v>
          </cell>
          <cell r="O198" t="str">
            <v>0401</v>
          </cell>
          <cell r="U198" t="str">
            <v>56311001</v>
          </cell>
          <cell r="W198" t="str">
            <v>DN</v>
          </cell>
        </row>
        <row r="199">
          <cell r="H199">
            <v>865810000</v>
          </cell>
          <cell r="O199" t="str">
            <v>0401</v>
          </cell>
          <cell r="U199" t="str">
            <v>56311001</v>
          </cell>
          <cell r="W199" t="str">
            <v>DN</v>
          </cell>
        </row>
        <row r="200">
          <cell r="H200">
            <v>4516220000</v>
          </cell>
          <cell r="O200" t="str">
            <v>0401</v>
          </cell>
          <cell r="U200" t="str">
            <v>56311001</v>
          </cell>
          <cell r="W200" t="str">
            <v>DN</v>
          </cell>
        </row>
        <row r="201">
          <cell r="H201">
            <v>1819056900</v>
          </cell>
          <cell r="O201" t="str">
            <v>0401</v>
          </cell>
          <cell r="U201" t="str">
            <v>56311001</v>
          </cell>
          <cell r="W201" t="str">
            <v>DN</v>
          </cell>
        </row>
        <row r="202">
          <cell r="H202">
            <v>482023900</v>
          </cell>
          <cell r="O202" t="str">
            <v>0401</v>
          </cell>
          <cell r="U202" t="str">
            <v>79311003</v>
          </cell>
          <cell r="W202" t="str">
            <v>DN</v>
          </cell>
        </row>
        <row r="203">
          <cell r="H203">
            <v>3589962250</v>
          </cell>
          <cell r="O203" t="str">
            <v>0401</v>
          </cell>
          <cell r="U203" t="str">
            <v>79311003</v>
          </cell>
          <cell r="W203" t="str">
            <v>DN</v>
          </cell>
        </row>
        <row r="204">
          <cell r="H204">
            <v>316115000</v>
          </cell>
          <cell r="O204" t="str">
            <v>0401</v>
          </cell>
          <cell r="U204" t="str">
            <v>79311003</v>
          </cell>
          <cell r="W204" t="str">
            <v>DN</v>
          </cell>
        </row>
        <row r="205">
          <cell r="H205">
            <v>4030723800</v>
          </cell>
          <cell r="O205" t="str">
            <v>0401</v>
          </cell>
          <cell r="U205" t="str">
            <v>79311003</v>
          </cell>
          <cell r="W205" t="str">
            <v>DN</v>
          </cell>
        </row>
        <row r="206">
          <cell r="H206">
            <v>230000000</v>
          </cell>
          <cell r="O206" t="str">
            <v>0402</v>
          </cell>
          <cell r="U206" t="str">
            <v>22311001</v>
          </cell>
          <cell r="W206" t="str">
            <v>DN</v>
          </cell>
        </row>
        <row r="207">
          <cell r="H207">
            <v>3089563850</v>
          </cell>
          <cell r="O207" t="str">
            <v>0401</v>
          </cell>
          <cell r="U207" t="str">
            <v>75311001</v>
          </cell>
          <cell r="W207" t="str">
            <v>DN</v>
          </cell>
        </row>
        <row r="208">
          <cell r="H208">
            <v>398695650</v>
          </cell>
          <cell r="O208" t="str">
            <v>0401</v>
          </cell>
          <cell r="U208" t="str">
            <v>79311003</v>
          </cell>
          <cell r="W208" t="str">
            <v>DN</v>
          </cell>
        </row>
        <row r="209">
          <cell r="H209">
            <v>1542245000</v>
          </cell>
          <cell r="O209" t="str">
            <v>0401</v>
          </cell>
          <cell r="U209" t="str">
            <v>79311003</v>
          </cell>
          <cell r="W209" t="str">
            <v>DN</v>
          </cell>
        </row>
        <row r="210">
          <cell r="H210">
            <v>3081420000</v>
          </cell>
          <cell r="O210" t="str">
            <v>0401</v>
          </cell>
          <cell r="U210" t="str">
            <v>79311003</v>
          </cell>
          <cell r="W210" t="str">
            <v>DN</v>
          </cell>
        </row>
        <row r="211">
          <cell r="H211">
            <v>32600000</v>
          </cell>
          <cell r="O211" t="str">
            <v>0401</v>
          </cell>
          <cell r="U211" t="str">
            <v>74311003</v>
          </cell>
          <cell r="W211" t="str">
            <v>DN</v>
          </cell>
        </row>
        <row r="212">
          <cell r="H212">
            <v>470400000</v>
          </cell>
          <cell r="O212" t="str">
            <v>0401</v>
          </cell>
          <cell r="U212" t="str">
            <v>37311001</v>
          </cell>
          <cell r="W212" t="str">
            <v>DN</v>
          </cell>
        </row>
        <row r="213">
          <cell r="H213">
            <v>453550300</v>
          </cell>
          <cell r="O213" t="str">
            <v>0401</v>
          </cell>
          <cell r="U213" t="str">
            <v>56311001</v>
          </cell>
          <cell r="W213" t="str">
            <v>CN</v>
          </cell>
        </row>
        <row r="214">
          <cell r="H214">
            <v>500000000</v>
          </cell>
          <cell r="O214" t="str">
            <v>0401</v>
          </cell>
          <cell r="U214" t="str">
            <v>40311001</v>
          </cell>
          <cell r="W214" t="str">
            <v>CN</v>
          </cell>
        </row>
        <row r="215">
          <cell r="H215">
            <v>636400000</v>
          </cell>
          <cell r="O215" t="str">
            <v>0401</v>
          </cell>
          <cell r="U215" t="str">
            <v>66311001</v>
          </cell>
          <cell r="W215" t="str">
            <v>DN</v>
          </cell>
        </row>
        <row r="216">
          <cell r="H216">
            <v>515680000</v>
          </cell>
          <cell r="O216" t="str">
            <v>0401</v>
          </cell>
          <cell r="U216" t="str">
            <v>66311001</v>
          </cell>
          <cell r="W216" t="str">
            <v>DN</v>
          </cell>
        </row>
        <row r="217">
          <cell r="H217">
            <v>100000000</v>
          </cell>
          <cell r="O217" t="str">
            <v>0401</v>
          </cell>
          <cell r="U217" t="str">
            <v>01311014</v>
          </cell>
          <cell r="W217" t="str">
            <v>CN</v>
          </cell>
        </row>
        <row r="218">
          <cell r="H218">
            <v>100000000</v>
          </cell>
          <cell r="O218" t="str">
            <v>0401</v>
          </cell>
          <cell r="U218" t="str">
            <v>01311014</v>
          </cell>
          <cell r="W218" t="str">
            <v>CN</v>
          </cell>
        </row>
        <row r="219">
          <cell r="H219">
            <v>200000000</v>
          </cell>
          <cell r="O219" t="str">
            <v>0401</v>
          </cell>
          <cell r="U219" t="str">
            <v>01311014</v>
          </cell>
          <cell r="W219" t="str">
            <v>CN</v>
          </cell>
        </row>
        <row r="220">
          <cell r="H220">
            <v>100000000</v>
          </cell>
          <cell r="O220" t="str">
            <v>0401</v>
          </cell>
          <cell r="U220" t="str">
            <v>01311014</v>
          </cell>
          <cell r="W220" t="str">
            <v>CN</v>
          </cell>
        </row>
        <row r="221">
          <cell r="H221">
            <v>100000000</v>
          </cell>
          <cell r="O221" t="str">
            <v>0202</v>
          </cell>
          <cell r="U221" t="str">
            <v>01311014</v>
          </cell>
          <cell r="W221" t="str">
            <v>CN</v>
          </cell>
        </row>
        <row r="222">
          <cell r="H222">
            <v>400000000</v>
          </cell>
          <cell r="O222" t="str">
            <v>0401</v>
          </cell>
          <cell r="U222" t="str">
            <v>49311001</v>
          </cell>
          <cell r="W222" t="str">
            <v>CN</v>
          </cell>
        </row>
        <row r="223">
          <cell r="H223">
            <v>1249608443</v>
          </cell>
          <cell r="O223" t="str">
            <v>0702</v>
          </cell>
          <cell r="U223" t="str">
            <v>01311004</v>
          </cell>
          <cell r="W223" t="str">
            <v>DN</v>
          </cell>
        </row>
        <row r="224">
          <cell r="H224">
            <v>291562852</v>
          </cell>
          <cell r="O224" t="str">
            <v>0702</v>
          </cell>
          <cell r="U224" t="str">
            <v>01311004</v>
          </cell>
          <cell r="W224" t="str">
            <v>DN</v>
          </cell>
        </row>
        <row r="225">
          <cell r="H225">
            <v>144908000</v>
          </cell>
          <cell r="O225" t="str">
            <v>0402</v>
          </cell>
          <cell r="U225" t="str">
            <v>31311002</v>
          </cell>
          <cell r="W225" t="str">
            <v>DN</v>
          </cell>
        </row>
        <row r="226">
          <cell r="H226">
            <v>91609000</v>
          </cell>
          <cell r="O226" t="str">
            <v>0402</v>
          </cell>
          <cell r="U226" t="str">
            <v>31311002</v>
          </cell>
          <cell r="W226" t="str">
            <v>DN</v>
          </cell>
        </row>
        <row r="227">
          <cell r="H227">
            <v>90000000</v>
          </cell>
          <cell r="O227" t="str">
            <v>0401</v>
          </cell>
          <cell r="U227" t="str">
            <v>89311001</v>
          </cell>
          <cell r="W227" t="str">
            <v>CN</v>
          </cell>
        </row>
        <row r="228">
          <cell r="H228">
            <v>6210304686</v>
          </cell>
          <cell r="O228" t="str">
            <v>0202</v>
          </cell>
          <cell r="U228" t="str">
            <v>01311002</v>
          </cell>
          <cell r="W228" t="str">
            <v>DN</v>
          </cell>
        </row>
        <row r="229">
          <cell r="H229">
            <v>1065539171</v>
          </cell>
          <cell r="O229" t="str">
            <v>0202</v>
          </cell>
          <cell r="U229" t="str">
            <v>01311002</v>
          </cell>
          <cell r="W229" t="str">
            <v>DN</v>
          </cell>
        </row>
        <row r="230">
          <cell r="H230">
            <v>2133619322</v>
          </cell>
          <cell r="O230" t="str">
            <v>0202</v>
          </cell>
          <cell r="U230" t="str">
            <v>01311002</v>
          </cell>
          <cell r="W230" t="str">
            <v>DN</v>
          </cell>
        </row>
        <row r="231">
          <cell r="H231">
            <v>12975118774</v>
          </cell>
          <cell r="O231" t="str">
            <v>0202</v>
          </cell>
          <cell r="U231" t="str">
            <v>01311002</v>
          </cell>
          <cell r="W231" t="str">
            <v>DN</v>
          </cell>
        </row>
        <row r="232">
          <cell r="H232">
            <v>631295775</v>
          </cell>
          <cell r="O232" t="str">
            <v>0401</v>
          </cell>
          <cell r="U232" t="str">
            <v>01311010</v>
          </cell>
          <cell r="W232" t="str">
            <v>DN</v>
          </cell>
        </row>
        <row r="233">
          <cell r="H233">
            <v>792033228</v>
          </cell>
          <cell r="O233" t="str">
            <v>0401</v>
          </cell>
          <cell r="U233" t="str">
            <v>01311010</v>
          </cell>
          <cell r="W233" t="str">
            <v>DN</v>
          </cell>
        </row>
        <row r="234">
          <cell r="H234">
            <v>687640462</v>
          </cell>
          <cell r="O234" t="str">
            <v>0401</v>
          </cell>
          <cell r="U234" t="str">
            <v>01311010</v>
          </cell>
          <cell r="W234" t="str">
            <v>DN</v>
          </cell>
        </row>
        <row r="235">
          <cell r="H235">
            <v>2545924500</v>
          </cell>
          <cell r="O235" t="str">
            <v>0401</v>
          </cell>
          <cell r="U235" t="str">
            <v>01311010</v>
          </cell>
          <cell r="W235" t="str">
            <v>DN</v>
          </cell>
        </row>
        <row r="236">
          <cell r="H236">
            <v>685020467</v>
          </cell>
          <cell r="O236" t="str">
            <v>0401</v>
          </cell>
          <cell r="U236" t="str">
            <v>01311010</v>
          </cell>
          <cell r="W236" t="str">
            <v>DN</v>
          </cell>
        </row>
        <row r="237">
          <cell r="H237">
            <v>209958968</v>
          </cell>
          <cell r="O237" t="str">
            <v>0401</v>
          </cell>
          <cell r="U237" t="str">
            <v>45311001</v>
          </cell>
          <cell r="W237" t="str">
            <v>DN</v>
          </cell>
        </row>
        <row r="238">
          <cell r="H238">
            <v>372103481</v>
          </cell>
          <cell r="O238" t="str">
            <v>0401</v>
          </cell>
          <cell r="U238" t="str">
            <v>45311001</v>
          </cell>
          <cell r="W238" t="str">
            <v>DN</v>
          </cell>
        </row>
        <row r="239">
          <cell r="H239">
            <v>1941005430</v>
          </cell>
          <cell r="O239" t="str">
            <v>0401</v>
          </cell>
          <cell r="U239" t="str">
            <v>01311010</v>
          </cell>
          <cell r="W239" t="str">
            <v>DN</v>
          </cell>
        </row>
        <row r="240">
          <cell r="H240">
            <v>413926589</v>
          </cell>
          <cell r="O240" t="str">
            <v>0401</v>
          </cell>
          <cell r="U240" t="str">
            <v>01311010</v>
          </cell>
          <cell r="W240" t="str">
            <v>DN</v>
          </cell>
        </row>
        <row r="241">
          <cell r="H241">
            <v>2500187400</v>
          </cell>
          <cell r="O241" t="str">
            <v>0401</v>
          </cell>
          <cell r="U241" t="str">
            <v>80311001</v>
          </cell>
          <cell r="W241" t="str">
            <v>DN</v>
          </cell>
        </row>
        <row r="242">
          <cell r="H242">
            <v>553616600</v>
          </cell>
          <cell r="O242" t="str">
            <v>0202</v>
          </cell>
          <cell r="U242" t="str">
            <v>01311005</v>
          </cell>
          <cell r="W242" t="str">
            <v>DN</v>
          </cell>
        </row>
        <row r="243">
          <cell r="H243">
            <v>373445500</v>
          </cell>
          <cell r="O243" t="str">
            <v>0202</v>
          </cell>
          <cell r="U243" t="str">
            <v>01311005</v>
          </cell>
          <cell r="W243" t="str">
            <v>DN</v>
          </cell>
        </row>
        <row r="244">
          <cell r="H244">
            <v>94600000</v>
          </cell>
          <cell r="O244" t="str">
            <v>0202</v>
          </cell>
          <cell r="U244" t="str">
            <v>01311005</v>
          </cell>
          <cell r="W244" t="str">
            <v>DN</v>
          </cell>
        </row>
        <row r="245">
          <cell r="H245">
            <v>5322260000</v>
          </cell>
          <cell r="O245" t="str">
            <v>0401</v>
          </cell>
          <cell r="U245" t="str">
            <v>01311004</v>
          </cell>
          <cell r="W245" t="str">
            <v>DN</v>
          </cell>
        </row>
        <row r="246">
          <cell r="H246">
            <v>2825998000</v>
          </cell>
          <cell r="O246" t="str">
            <v>0401</v>
          </cell>
          <cell r="U246" t="str">
            <v>01311004</v>
          </cell>
          <cell r="W246" t="str">
            <v>DN</v>
          </cell>
        </row>
        <row r="247">
          <cell r="H247">
            <v>2438360000</v>
          </cell>
          <cell r="O247" t="str">
            <v>0401</v>
          </cell>
          <cell r="U247" t="str">
            <v>01311004</v>
          </cell>
          <cell r="W247" t="str">
            <v>DN</v>
          </cell>
        </row>
        <row r="248">
          <cell r="H248">
            <v>500000000</v>
          </cell>
          <cell r="O248" t="str">
            <v>0401</v>
          </cell>
          <cell r="U248" t="str">
            <v>49311001</v>
          </cell>
          <cell r="W248" t="str">
            <v>DN</v>
          </cell>
        </row>
        <row r="249">
          <cell r="H249">
            <v>400000000</v>
          </cell>
          <cell r="O249" t="str">
            <v>0401</v>
          </cell>
          <cell r="U249" t="str">
            <v>49311001</v>
          </cell>
          <cell r="W249" t="str">
            <v>DN</v>
          </cell>
        </row>
        <row r="250">
          <cell r="H250">
            <v>400000000</v>
          </cell>
          <cell r="O250" t="str">
            <v>0401</v>
          </cell>
          <cell r="U250" t="str">
            <v>49311001</v>
          </cell>
          <cell r="W250" t="str">
            <v>DN</v>
          </cell>
        </row>
        <row r="251">
          <cell r="H251">
            <v>300000000</v>
          </cell>
          <cell r="O251" t="str">
            <v>0401</v>
          </cell>
          <cell r="U251" t="str">
            <v>51311001</v>
          </cell>
          <cell r="W251" t="str">
            <v>CN</v>
          </cell>
        </row>
        <row r="252">
          <cell r="H252">
            <v>300000000</v>
          </cell>
          <cell r="O252" t="str">
            <v>0401</v>
          </cell>
          <cell r="U252" t="str">
            <v>91311002</v>
          </cell>
          <cell r="W252" t="str">
            <v>CN</v>
          </cell>
        </row>
        <row r="253">
          <cell r="H253">
            <v>1543332132</v>
          </cell>
          <cell r="O253" t="str">
            <v>0401</v>
          </cell>
          <cell r="U253" t="str">
            <v>01311002</v>
          </cell>
          <cell r="W253" t="str">
            <v>DN</v>
          </cell>
        </row>
        <row r="254">
          <cell r="H254">
            <v>197895240</v>
          </cell>
          <cell r="O254" t="str">
            <v>0401</v>
          </cell>
          <cell r="U254" t="str">
            <v>01311002</v>
          </cell>
          <cell r="W254" t="str">
            <v>DN</v>
          </cell>
        </row>
        <row r="255">
          <cell r="H255">
            <v>995693000</v>
          </cell>
          <cell r="O255" t="str">
            <v>0401</v>
          </cell>
          <cell r="U255" t="str">
            <v>01311002</v>
          </cell>
          <cell r="W255" t="str">
            <v>DN</v>
          </cell>
        </row>
        <row r="256">
          <cell r="H256">
            <v>198351660</v>
          </cell>
          <cell r="O256" t="str">
            <v>0401</v>
          </cell>
          <cell r="U256" t="str">
            <v>01311002</v>
          </cell>
          <cell r="W256" t="str">
            <v>DN</v>
          </cell>
        </row>
        <row r="257">
          <cell r="H257">
            <v>543985650</v>
          </cell>
          <cell r="O257" t="str">
            <v>0401</v>
          </cell>
          <cell r="U257" t="str">
            <v>01311002</v>
          </cell>
          <cell r="W257" t="str">
            <v>DN</v>
          </cell>
        </row>
        <row r="258">
          <cell r="H258">
            <v>48000000</v>
          </cell>
          <cell r="O258" t="str">
            <v>0101</v>
          </cell>
          <cell r="U258" t="str">
            <v>66311001</v>
          </cell>
          <cell r="W258" t="str">
            <v>CN</v>
          </cell>
        </row>
        <row r="259">
          <cell r="H259">
            <v>1324162253</v>
          </cell>
          <cell r="O259" t="str">
            <v>0401</v>
          </cell>
          <cell r="U259" t="str">
            <v>79311002</v>
          </cell>
          <cell r="W259" t="str">
            <v>DN</v>
          </cell>
        </row>
        <row r="260">
          <cell r="H260">
            <v>4516973010</v>
          </cell>
          <cell r="O260" t="str">
            <v>0401</v>
          </cell>
          <cell r="U260" t="str">
            <v>79311002</v>
          </cell>
          <cell r="W260" t="str">
            <v>DN</v>
          </cell>
        </row>
        <row r="261">
          <cell r="H261">
            <v>3272474372</v>
          </cell>
          <cell r="O261" t="str">
            <v>0401</v>
          </cell>
          <cell r="U261" t="str">
            <v>79311002</v>
          </cell>
          <cell r="W261" t="str">
            <v>DN</v>
          </cell>
        </row>
        <row r="262">
          <cell r="H262">
            <v>4462072875</v>
          </cell>
          <cell r="O262" t="str">
            <v>0401</v>
          </cell>
          <cell r="U262" t="str">
            <v>79311002</v>
          </cell>
          <cell r="W262" t="str">
            <v>DN</v>
          </cell>
        </row>
        <row r="263">
          <cell r="H263">
            <v>1834777013</v>
          </cell>
          <cell r="O263" t="str">
            <v>0401</v>
          </cell>
          <cell r="U263" t="str">
            <v>79311002</v>
          </cell>
          <cell r="W263" t="str">
            <v>DN</v>
          </cell>
        </row>
        <row r="264">
          <cell r="H264">
            <v>4040616924</v>
          </cell>
          <cell r="O264" t="str">
            <v>0401</v>
          </cell>
          <cell r="U264" t="str">
            <v>79311002</v>
          </cell>
          <cell r="W264" t="str">
            <v>DN</v>
          </cell>
        </row>
        <row r="265">
          <cell r="H265">
            <v>4081875086</v>
          </cell>
          <cell r="O265" t="str">
            <v>0401</v>
          </cell>
          <cell r="U265" t="str">
            <v>79311002</v>
          </cell>
          <cell r="W265" t="str">
            <v>DN</v>
          </cell>
        </row>
        <row r="266">
          <cell r="H266">
            <v>2223911623</v>
          </cell>
          <cell r="O266" t="str">
            <v>0401</v>
          </cell>
          <cell r="U266" t="str">
            <v>79311002</v>
          </cell>
          <cell r="W266" t="str">
            <v>DN</v>
          </cell>
        </row>
        <row r="267">
          <cell r="H267">
            <v>1629642663</v>
          </cell>
          <cell r="O267" t="str">
            <v>0202</v>
          </cell>
          <cell r="U267" t="str">
            <v>01311002</v>
          </cell>
          <cell r="W267" t="str">
            <v>DN</v>
          </cell>
        </row>
        <row r="268">
          <cell r="H268">
            <v>6840000000</v>
          </cell>
          <cell r="O268" t="str">
            <v>0202</v>
          </cell>
          <cell r="U268" t="str">
            <v>01311002</v>
          </cell>
          <cell r="W268" t="str">
            <v>DN</v>
          </cell>
        </row>
        <row r="269">
          <cell r="H269">
            <v>12327830591</v>
          </cell>
          <cell r="O269" t="str">
            <v>0202</v>
          </cell>
          <cell r="U269" t="str">
            <v>01311002</v>
          </cell>
          <cell r="W269" t="str">
            <v>DN</v>
          </cell>
        </row>
        <row r="270">
          <cell r="H270">
            <v>1864041300</v>
          </cell>
          <cell r="O270" t="str">
            <v>0401</v>
          </cell>
          <cell r="U270" t="str">
            <v>01311006</v>
          </cell>
          <cell r="W270" t="str">
            <v>DN</v>
          </cell>
        </row>
        <row r="271">
          <cell r="H271">
            <v>357500000</v>
          </cell>
          <cell r="O271" t="str">
            <v>0401</v>
          </cell>
          <cell r="U271" t="str">
            <v>01311006</v>
          </cell>
          <cell r="W271" t="str">
            <v>DN</v>
          </cell>
        </row>
        <row r="272">
          <cell r="H272">
            <v>115452810</v>
          </cell>
          <cell r="O272" t="str">
            <v>0401</v>
          </cell>
          <cell r="U272" t="str">
            <v>01311006</v>
          </cell>
          <cell r="W272" t="str">
            <v>DN</v>
          </cell>
        </row>
        <row r="273">
          <cell r="H273">
            <v>978790419</v>
          </cell>
          <cell r="O273" t="str">
            <v>0401</v>
          </cell>
          <cell r="U273" t="str">
            <v>01311006</v>
          </cell>
          <cell r="W273" t="str">
            <v>DN</v>
          </cell>
        </row>
        <row r="274">
          <cell r="H274">
            <v>188847450</v>
          </cell>
          <cell r="O274" t="str">
            <v>0401</v>
          </cell>
          <cell r="U274" t="str">
            <v>01311006</v>
          </cell>
          <cell r="W274" t="str">
            <v>DN</v>
          </cell>
        </row>
        <row r="275">
          <cell r="H275">
            <v>428061709</v>
          </cell>
          <cell r="O275" t="str">
            <v>0401</v>
          </cell>
          <cell r="U275" t="str">
            <v>01311006</v>
          </cell>
          <cell r="W275" t="str">
            <v>DN</v>
          </cell>
        </row>
        <row r="276">
          <cell r="H276">
            <v>15584544184</v>
          </cell>
          <cell r="O276" t="str">
            <v>0401</v>
          </cell>
          <cell r="U276" t="str">
            <v>01311006</v>
          </cell>
          <cell r="W276" t="str">
            <v>DN</v>
          </cell>
        </row>
        <row r="277">
          <cell r="H277">
            <v>476672772</v>
          </cell>
          <cell r="O277" t="str">
            <v>0401</v>
          </cell>
          <cell r="U277" t="str">
            <v>01311006</v>
          </cell>
          <cell r="W277" t="str">
            <v>DN</v>
          </cell>
        </row>
        <row r="278">
          <cell r="H278">
            <v>206484883</v>
          </cell>
          <cell r="O278" t="str">
            <v>0401</v>
          </cell>
          <cell r="U278" t="str">
            <v>01311006</v>
          </cell>
          <cell r="W278" t="str">
            <v>DN</v>
          </cell>
        </row>
        <row r="279">
          <cell r="H279">
            <v>500000000</v>
          </cell>
          <cell r="O279" t="str">
            <v>0401</v>
          </cell>
          <cell r="U279" t="str">
            <v>70311001</v>
          </cell>
          <cell r="W279" t="str">
            <v>CN</v>
          </cell>
        </row>
        <row r="280">
          <cell r="H280">
            <v>500000000</v>
          </cell>
          <cell r="O280" t="str">
            <v>0401</v>
          </cell>
          <cell r="U280" t="str">
            <v>70311001</v>
          </cell>
          <cell r="W280" t="str">
            <v>CN</v>
          </cell>
        </row>
        <row r="281">
          <cell r="H281">
            <v>214034832</v>
          </cell>
          <cell r="O281" t="str">
            <v>0401</v>
          </cell>
          <cell r="U281" t="str">
            <v>01311006</v>
          </cell>
          <cell r="W281" t="str">
            <v>DN</v>
          </cell>
        </row>
        <row r="282">
          <cell r="H282">
            <v>329243338</v>
          </cell>
          <cell r="O282" t="str">
            <v>0401</v>
          </cell>
          <cell r="U282" t="str">
            <v>01311006</v>
          </cell>
          <cell r="W282" t="str">
            <v>DN</v>
          </cell>
        </row>
        <row r="283">
          <cell r="H283">
            <v>265985451</v>
          </cell>
          <cell r="O283" t="str">
            <v>0401</v>
          </cell>
          <cell r="U283" t="str">
            <v>01311006</v>
          </cell>
          <cell r="W283" t="str">
            <v>DN</v>
          </cell>
        </row>
        <row r="284">
          <cell r="H284">
            <v>448366360</v>
          </cell>
          <cell r="O284" t="str">
            <v>0401</v>
          </cell>
          <cell r="U284" t="str">
            <v>01311006</v>
          </cell>
          <cell r="W284" t="str">
            <v>DN</v>
          </cell>
        </row>
        <row r="285">
          <cell r="H285">
            <v>415800000</v>
          </cell>
          <cell r="O285" t="str">
            <v>0401</v>
          </cell>
          <cell r="U285" t="str">
            <v>01311006</v>
          </cell>
          <cell r="W285" t="str">
            <v>DN</v>
          </cell>
        </row>
        <row r="286">
          <cell r="H286">
            <v>512982906</v>
          </cell>
          <cell r="O286" t="str">
            <v>0401</v>
          </cell>
          <cell r="U286" t="str">
            <v>01311006</v>
          </cell>
          <cell r="W286" t="str">
            <v>DN</v>
          </cell>
        </row>
        <row r="287">
          <cell r="H287">
            <v>1294676000</v>
          </cell>
          <cell r="O287" t="str">
            <v>0401</v>
          </cell>
          <cell r="U287" t="str">
            <v>01311006</v>
          </cell>
          <cell r="W287" t="str">
            <v>DN</v>
          </cell>
        </row>
        <row r="288">
          <cell r="H288">
            <v>193724608</v>
          </cell>
          <cell r="O288" t="str">
            <v>0401</v>
          </cell>
          <cell r="U288" t="str">
            <v>01311006</v>
          </cell>
          <cell r="W288" t="str">
            <v>DN</v>
          </cell>
        </row>
        <row r="289">
          <cell r="H289">
            <v>167118094</v>
          </cell>
          <cell r="O289" t="str">
            <v>0401</v>
          </cell>
          <cell r="U289" t="str">
            <v>01311006</v>
          </cell>
          <cell r="W289" t="str">
            <v>DN</v>
          </cell>
        </row>
        <row r="290">
          <cell r="H290">
            <v>206923376</v>
          </cell>
          <cell r="O290" t="str">
            <v>0401</v>
          </cell>
          <cell r="U290" t="str">
            <v>01311006</v>
          </cell>
          <cell r="W290" t="str">
            <v>DN</v>
          </cell>
        </row>
        <row r="291">
          <cell r="H291">
            <v>911466016</v>
          </cell>
          <cell r="O291" t="str">
            <v>0401</v>
          </cell>
          <cell r="U291" t="str">
            <v>01311006</v>
          </cell>
          <cell r="W291" t="str">
            <v>DN</v>
          </cell>
        </row>
        <row r="292">
          <cell r="H292">
            <v>188453070</v>
          </cell>
          <cell r="O292" t="str">
            <v>0401</v>
          </cell>
          <cell r="U292" t="str">
            <v>01311006</v>
          </cell>
          <cell r="W292" t="str">
            <v>DN</v>
          </cell>
        </row>
        <row r="293">
          <cell r="H293">
            <v>2382359831</v>
          </cell>
          <cell r="O293" t="str">
            <v>0401</v>
          </cell>
          <cell r="U293" t="str">
            <v>01311006</v>
          </cell>
          <cell r="W293" t="str">
            <v>DN</v>
          </cell>
        </row>
        <row r="294">
          <cell r="H294">
            <v>3801081067</v>
          </cell>
          <cell r="O294" t="str">
            <v>0401</v>
          </cell>
          <cell r="U294" t="str">
            <v>01311006</v>
          </cell>
          <cell r="W294" t="str">
            <v>DN</v>
          </cell>
        </row>
        <row r="295">
          <cell r="H295">
            <v>616670000</v>
          </cell>
          <cell r="O295" t="str">
            <v>0401</v>
          </cell>
          <cell r="U295" t="str">
            <v>75311004</v>
          </cell>
          <cell r="W295" t="str">
            <v>CN</v>
          </cell>
        </row>
        <row r="296">
          <cell r="H296">
            <v>1937113992</v>
          </cell>
          <cell r="O296" t="str">
            <v>0401</v>
          </cell>
          <cell r="U296" t="str">
            <v>01311006</v>
          </cell>
          <cell r="W296" t="str">
            <v>DN</v>
          </cell>
        </row>
        <row r="297">
          <cell r="H297">
            <v>250085220</v>
          </cell>
          <cell r="O297" t="str">
            <v>0401</v>
          </cell>
          <cell r="U297" t="str">
            <v>01311006</v>
          </cell>
          <cell r="W297" t="str">
            <v>DN</v>
          </cell>
        </row>
        <row r="298">
          <cell r="H298">
            <v>499682304</v>
          </cell>
          <cell r="O298" t="str">
            <v>0401</v>
          </cell>
          <cell r="U298" t="str">
            <v>01311006</v>
          </cell>
          <cell r="W298" t="str">
            <v>DN</v>
          </cell>
        </row>
        <row r="299">
          <cell r="H299">
            <v>259754000</v>
          </cell>
          <cell r="O299" t="str">
            <v>0401</v>
          </cell>
          <cell r="U299" t="str">
            <v>01311006</v>
          </cell>
          <cell r="W299" t="str">
            <v>DN</v>
          </cell>
        </row>
        <row r="300">
          <cell r="H300">
            <v>463024321</v>
          </cell>
          <cell r="O300" t="str">
            <v>0401</v>
          </cell>
          <cell r="U300" t="str">
            <v>01311006</v>
          </cell>
          <cell r="W300" t="str">
            <v>DN</v>
          </cell>
        </row>
        <row r="301">
          <cell r="H301">
            <v>221318000</v>
          </cell>
          <cell r="O301" t="str">
            <v>0401</v>
          </cell>
          <cell r="U301" t="str">
            <v>01311006</v>
          </cell>
          <cell r="W301" t="str">
            <v>DN</v>
          </cell>
        </row>
        <row r="302">
          <cell r="H302">
            <v>142990514</v>
          </cell>
          <cell r="O302" t="str">
            <v>0401</v>
          </cell>
          <cell r="U302" t="str">
            <v>01311006</v>
          </cell>
          <cell r="W302" t="str">
            <v>DN</v>
          </cell>
        </row>
        <row r="303">
          <cell r="H303">
            <v>250000000</v>
          </cell>
          <cell r="O303" t="str">
            <v>0401</v>
          </cell>
          <cell r="U303" t="str">
            <v>01311006</v>
          </cell>
          <cell r="W303" t="str">
            <v>DN</v>
          </cell>
        </row>
        <row r="304">
          <cell r="H304">
            <v>2039354112</v>
          </cell>
          <cell r="O304" t="str">
            <v>0401</v>
          </cell>
          <cell r="U304" t="str">
            <v>01311006</v>
          </cell>
          <cell r="W304" t="str">
            <v>DN</v>
          </cell>
        </row>
        <row r="305">
          <cell r="H305">
            <v>464704181</v>
          </cell>
          <cell r="O305" t="str">
            <v>0401</v>
          </cell>
          <cell r="U305" t="str">
            <v>01311006</v>
          </cell>
          <cell r="W305" t="str">
            <v>DN</v>
          </cell>
        </row>
        <row r="306">
          <cell r="H306">
            <v>238370000</v>
          </cell>
          <cell r="O306" t="str">
            <v>0401</v>
          </cell>
          <cell r="U306" t="str">
            <v>01311006</v>
          </cell>
          <cell r="W306" t="str">
            <v>DN</v>
          </cell>
        </row>
        <row r="307">
          <cell r="H307">
            <v>360701880</v>
          </cell>
          <cell r="O307" t="str">
            <v>0401</v>
          </cell>
          <cell r="U307" t="str">
            <v>01311006</v>
          </cell>
          <cell r="W307" t="str">
            <v>DN</v>
          </cell>
        </row>
        <row r="308">
          <cell r="H308">
            <v>1491470061</v>
          </cell>
          <cell r="O308" t="str">
            <v>0401</v>
          </cell>
          <cell r="U308" t="str">
            <v>01311006</v>
          </cell>
          <cell r="W308" t="str">
            <v>DN</v>
          </cell>
        </row>
        <row r="309">
          <cell r="H309">
            <v>3319747</v>
          </cell>
          <cell r="O309" t="str">
            <v>0401</v>
          </cell>
          <cell r="U309" t="str">
            <v>79311005</v>
          </cell>
          <cell r="W309" t="str">
            <v>DN</v>
          </cell>
        </row>
        <row r="310">
          <cell r="H310">
            <v>377860965</v>
          </cell>
          <cell r="O310" t="str">
            <v>0401</v>
          </cell>
          <cell r="U310" t="str">
            <v>01311006</v>
          </cell>
          <cell r="W310" t="str">
            <v>DN</v>
          </cell>
        </row>
        <row r="311">
          <cell r="H311">
            <v>400018407</v>
          </cell>
          <cell r="O311" t="str">
            <v>0401</v>
          </cell>
          <cell r="U311" t="str">
            <v>01311006</v>
          </cell>
          <cell r="W311" t="str">
            <v>DN</v>
          </cell>
        </row>
        <row r="312">
          <cell r="H312">
            <v>882597816</v>
          </cell>
          <cell r="O312" t="str">
            <v>0401</v>
          </cell>
          <cell r="U312" t="str">
            <v>01311006</v>
          </cell>
          <cell r="W312" t="str">
            <v>DN</v>
          </cell>
        </row>
        <row r="313">
          <cell r="H313">
            <v>111906520</v>
          </cell>
          <cell r="O313" t="str">
            <v>0401</v>
          </cell>
          <cell r="U313" t="str">
            <v>01311006</v>
          </cell>
          <cell r="W313" t="str">
            <v>DN</v>
          </cell>
        </row>
        <row r="314">
          <cell r="H314">
            <v>250000000</v>
          </cell>
          <cell r="O314" t="str">
            <v>0101</v>
          </cell>
          <cell r="U314" t="str">
            <v>87311001</v>
          </cell>
          <cell r="W314" t="str">
            <v>CN</v>
          </cell>
        </row>
        <row r="315">
          <cell r="H315">
            <v>4046869397</v>
          </cell>
          <cell r="O315" t="str">
            <v>0401</v>
          </cell>
          <cell r="U315" t="str">
            <v>79311002</v>
          </cell>
          <cell r="W315" t="str">
            <v>DN</v>
          </cell>
        </row>
        <row r="316">
          <cell r="H316">
            <v>16517365200</v>
          </cell>
          <cell r="O316" t="str">
            <v>0401</v>
          </cell>
          <cell r="U316" t="str">
            <v>01311007</v>
          </cell>
          <cell r="W316" t="str">
            <v>DN</v>
          </cell>
        </row>
        <row r="317">
          <cell r="H317">
            <v>999000000</v>
          </cell>
          <cell r="O317" t="str">
            <v>0401</v>
          </cell>
          <cell r="U317" t="str">
            <v>46311001</v>
          </cell>
          <cell r="W317" t="str">
            <v>CN</v>
          </cell>
        </row>
        <row r="318">
          <cell r="H318">
            <v>200000000</v>
          </cell>
          <cell r="O318" t="str">
            <v>0401</v>
          </cell>
          <cell r="U318" t="str">
            <v>22311001</v>
          </cell>
          <cell r="W318" t="str">
            <v>CN</v>
          </cell>
        </row>
        <row r="319">
          <cell r="H319">
            <v>200000000</v>
          </cell>
          <cell r="O319" t="str">
            <v>0401</v>
          </cell>
          <cell r="U319" t="str">
            <v>22311001</v>
          </cell>
          <cell r="W319" t="str">
            <v>CN</v>
          </cell>
        </row>
        <row r="320">
          <cell r="H320">
            <v>150000000</v>
          </cell>
          <cell r="O320" t="str">
            <v>0401</v>
          </cell>
          <cell r="U320" t="str">
            <v>22311001</v>
          </cell>
          <cell r="W320" t="str">
            <v>CN</v>
          </cell>
        </row>
        <row r="321">
          <cell r="H321">
            <v>2000000000</v>
          </cell>
          <cell r="O321" t="str">
            <v>0401</v>
          </cell>
          <cell r="U321" t="str">
            <v>46311001</v>
          </cell>
          <cell r="W321" t="str">
            <v>CN</v>
          </cell>
        </row>
        <row r="322">
          <cell r="H322">
            <v>118000000</v>
          </cell>
          <cell r="O322" t="str">
            <v>0401</v>
          </cell>
          <cell r="U322" t="str">
            <v>48311001</v>
          </cell>
          <cell r="W322" t="str">
            <v>DN</v>
          </cell>
        </row>
        <row r="323">
          <cell r="H323">
            <v>1150600000</v>
          </cell>
          <cell r="O323" t="str">
            <v>0401</v>
          </cell>
          <cell r="U323" t="str">
            <v>01311010</v>
          </cell>
          <cell r="W323" t="str">
            <v>DN</v>
          </cell>
        </row>
        <row r="324">
          <cell r="H324">
            <v>459462780</v>
          </cell>
          <cell r="O324" t="str">
            <v>0401</v>
          </cell>
          <cell r="U324" t="str">
            <v>01311010</v>
          </cell>
          <cell r="W324" t="str">
            <v>DN</v>
          </cell>
        </row>
        <row r="325">
          <cell r="H325">
            <v>170921583</v>
          </cell>
          <cell r="O325" t="str">
            <v>0401</v>
          </cell>
          <cell r="U325" t="str">
            <v>01311010</v>
          </cell>
          <cell r="W325" t="str">
            <v>DN</v>
          </cell>
        </row>
        <row r="326">
          <cell r="H326">
            <v>95703593</v>
          </cell>
          <cell r="O326" t="str">
            <v>0401</v>
          </cell>
          <cell r="U326" t="str">
            <v>01311010</v>
          </cell>
          <cell r="W326" t="str">
            <v>DN</v>
          </cell>
        </row>
        <row r="327">
          <cell r="H327">
            <v>457249013</v>
          </cell>
          <cell r="O327" t="str">
            <v>0401</v>
          </cell>
          <cell r="U327" t="str">
            <v>01311010</v>
          </cell>
          <cell r="W327" t="str">
            <v>DN</v>
          </cell>
        </row>
        <row r="328">
          <cell r="H328">
            <v>500000000</v>
          </cell>
          <cell r="O328" t="str">
            <v>0202</v>
          </cell>
          <cell r="U328" t="str">
            <v>48311002</v>
          </cell>
          <cell r="W328" t="str">
            <v>CN</v>
          </cell>
        </row>
        <row r="329">
          <cell r="H329">
            <v>1262250000</v>
          </cell>
          <cell r="O329" t="str">
            <v>0401</v>
          </cell>
          <cell r="U329" t="str">
            <v>01311039</v>
          </cell>
          <cell r="W329" t="str">
            <v>DN</v>
          </cell>
        </row>
        <row r="330">
          <cell r="H330">
            <v>3618273500</v>
          </cell>
          <cell r="O330" t="str">
            <v>0401</v>
          </cell>
          <cell r="U330" t="str">
            <v>01311039</v>
          </cell>
          <cell r="W330" t="str">
            <v>DN</v>
          </cell>
        </row>
        <row r="331">
          <cell r="H331">
            <v>3346260455</v>
          </cell>
          <cell r="O331" t="str">
            <v>0401</v>
          </cell>
          <cell r="U331" t="str">
            <v>01311039</v>
          </cell>
          <cell r="W331" t="str">
            <v>DN</v>
          </cell>
        </row>
        <row r="332">
          <cell r="H332">
            <v>876781048</v>
          </cell>
          <cell r="O332" t="str">
            <v>0401</v>
          </cell>
          <cell r="U332" t="str">
            <v>01311039</v>
          </cell>
          <cell r="W332" t="str">
            <v>DN</v>
          </cell>
        </row>
        <row r="333">
          <cell r="H333">
            <v>522948224</v>
          </cell>
          <cell r="O333" t="str">
            <v>0401</v>
          </cell>
          <cell r="U333" t="str">
            <v>01311039</v>
          </cell>
          <cell r="W333" t="str">
            <v>DN</v>
          </cell>
        </row>
        <row r="334">
          <cell r="H334">
            <v>500000000</v>
          </cell>
          <cell r="O334" t="str">
            <v>0101</v>
          </cell>
          <cell r="U334" t="str">
            <v>64311001</v>
          </cell>
          <cell r="W334" t="str">
            <v>CN</v>
          </cell>
        </row>
        <row r="335">
          <cell r="H335">
            <v>1000000000</v>
          </cell>
          <cell r="O335" t="str">
            <v>0401</v>
          </cell>
          <cell r="U335" t="str">
            <v>38311001</v>
          </cell>
          <cell r="W335" t="str">
            <v>CN</v>
          </cell>
        </row>
        <row r="336">
          <cell r="H336">
            <v>1500000000</v>
          </cell>
          <cell r="O336" t="str">
            <v>0401</v>
          </cell>
          <cell r="U336" t="str">
            <v>38311001</v>
          </cell>
          <cell r="W336" t="str">
            <v>CN</v>
          </cell>
        </row>
        <row r="337">
          <cell r="H337">
            <v>533334000</v>
          </cell>
          <cell r="O337" t="str">
            <v>0101</v>
          </cell>
          <cell r="U337" t="str">
            <v>66311001</v>
          </cell>
          <cell r="W337" t="str">
            <v>CN</v>
          </cell>
        </row>
        <row r="338">
          <cell r="H338">
            <v>1010000000</v>
          </cell>
          <cell r="O338" t="str">
            <v>0401</v>
          </cell>
          <cell r="U338" t="str">
            <v>01311004</v>
          </cell>
          <cell r="W338" t="str">
            <v>DN</v>
          </cell>
        </row>
        <row r="339">
          <cell r="H339">
            <v>260000000</v>
          </cell>
          <cell r="O339" t="str">
            <v>0401</v>
          </cell>
          <cell r="U339" t="str">
            <v>19311001</v>
          </cell>
          <cell r="W339" t="str">
            <v>CN</v>
          </cell>
        </row>
        <row r="340">
          <cell r="H340">
            <v>1040000000</v>
          </cell>
          <cell r="O340" t="str">
            <v>0401</v>
          </cell>
          <cell r="U340" t="str">
            <v>19311001</v>
          </cell>
          <cell r="W340" t="str">
            <v>CN</v>
          </cell>
        </row>
        <row r="341">
          <cell r="H341">
            <v>585714000</v>
          </cell>
          <cell r="O341" t="str">
            <v>0401</v>
          </cell>
          <cell r="U341" t="str">
            <v>01311014</v>
          </cell>
          <cell r="W341" t="str">
            <v>CN</v>
          </cell>
        </row>
        <row r="342">
          <cell r="H342">
            <v>214304000</v>
          </cell>
          <cell r="O342" t="str">
            <v>0202</v>
          </cell>
          <cell r="U342" t="str">
            <v>01311014</v>
          </cell>
          <cell r="W342" t="str">
            <v>CN</v>
          </cell>
        </row>
        <row r="343">
          <cell r="H343">
            <v>195240000</v>
          </cell>
          <cell r="O343" t="str">
            <v>0401</v>
          </cell>
          <cell r="U343" t="str">
            <v>01311014</v>
          </cell>
          <cell r="W343" t="str">
            <v>CN</v>
          </cell>
        </row>
        <row r="344">
          <cell r="H344">
            <v>357152000</v>
          </cell>
          <cell r="O344" t="str">
            <v>0401</v>
          </cell>
          <cell r="U344" t="str">
            <v>01311014</v>
          </cell>
          <cell r="W344" t="str">
            <v>CN</v>
          </cell>
        </row>
        <row r="345">
          <cell r="H345">
            <v>5470560000</v>
          </cell>
          <cell r="O345" t="str">
            <v>0401</v>
          </cell>
          <cell r="U345" t="str">
            <v>34311001</v>
          </cell>
          <cell r="W345" t="str">
            <v>DN</v>
          </cell>
        </row>
        <row r="346">
          <cell r="H346">
            <v>300000000</v>
          </cell>
          <cell r="O346" t="str">
            <v>0401</v>
          </cell>
          <cell r="U346" t="str">
            <v>79311004</v>
          </cell>
          <cell r="W346" t="str">
            <v>DN</v>
          </cell>
        </row>
        <row r="347">
          <cell r="H347">
            <v>300000000</v>
          </cell>
          <cell r="O347" t="str">
            <v>0401</v>
          </cell>
          <cell r="U347" t="str">
            <v>79311004</v>
          </cell>
          <cell r="W347" t="str">
            <v>DN</v>
          </cell>
        </row>
        <row r="348">
          <cell r="H348">
            <v>500000000</v>
          </cell>
          <cell r="O348" t="str">
            <v>0401</v>
          </cell>
          <cell r="U348" t="str">
            <v>79311004</v>
          </cell>
          <cell r="W348" t="str">
            <v>DN</v>
          </cell>
        </row>
        <row r="349">
          <cell r="H349">
            <v>300000000</v>
          </cell>
          <cell r="O349" t="str">
            <v>0401</v>
          </cell>
          <cell r="U349" t="str">
            <v>89311001</v>
          </cell>
          <cell r="W349" t="str">
            <v>CN</v>
          </cell>
        </row>
        <row r="350">
          <cell r="H350">
            <v>120000000</v>
          </cell>
          <cell r="O350" t="str">
            <v>0401</v>
          </cell>
          <cell r="U350" t="str">
            <v>89311001</v>
          </cell>
          <cell r="W350" t="str">
            <v>CN</v>
          </cell>
        </row>
        <row r="351">
          <cell r="H351">
            <v>1000000000</v>
          </cell>
          <cell r="O351" t="str">
            <v>0202</v>
          </cell>
          <cell r="U351" t="str">
            <v>31311001</v>
          </cell>
          <cell r="W351" t="str">
            <v>DN</v>
          </cell>
        </row>
        <row r="352">
          <cell r="H352">
            <v>355959857</v>
          </cell>
          <cell r="O352" t="str">
            <v>0202</v>
          </cell>
          <cell r="U352" t="str">
            <v>31311001</v>
          </cell>
          <cell r="W352" t="str">
            <v>DN</v>
          </cell>
        </row>
        <row r="353">
          <cell r="H353">
            <v>305696040</v>
          </cell>
          <cell r="O353" t="str">
            <v>0401</v>
          </cell>
          <cell r="U353" t="str">
            <v>01311010</v>
          </cell>
          <cell r="W353" t="str">
            <v>DN</v>
          </cell>
        </row>
        <row r="354">
          <cell r="H354">
            <v>2097415335</v>
          </cell>
          <cell r="O354" t="str">
            <v>0401</v>
          </cell>
          <cell r="U354" t="str">
            <v>01311010</v>
          </cell>
          <cell r="W354" t="str">
            <v>DN</v>
          </cell>
        </row>
        <row r="355">
          <cell r="H355">
            <v>1573033710</v>
          </cell>
          <cell r="O355" t="str">
            <v>0401</v>
          </cell>
          <cell r="U355" t="str">
            <v>01311010</v>
          </cell>
          <cell r="W355" t="str">
            <v>DN</v>
          </cell>
        </row>
        <row r="356">
          <cell r="H356">
            <v>652873568</v>
          </cell>
          <cell r="O356" t="str">
            <v>0401</v>
          </cell>
          <cell r="U356" t="str">
            <v>01311010</v>
          </cell>
          <cell r="W356" t="str">
            <v>DN</v>
          </cell>
        </row>
        <row r="357">
          <cell r="H357">
            <v>1573033710</v>
          </cell>
          <cell r="O357" t="str">
            <v>0401</v>
          </cell>
          <cell r="U357" t="str">
            <v>01311010</v>
          </cell>
          <cell r="W357" t="str">
            <v>DN</v>
          </cell>
        </row>
        <row r="358">
          <cell r="H358">
            <v>1570884594</v>
          </cell>
          <cell r="O358" t="str">
            <v>0202</v>
          </cell>
          <cell r="U358" t="str">
            <v>79311001</v>
          </cell>
          <cell r="W358" t="str">
            <v>DN</v>
          </cell>
        </row>
        <row r="359">
          <cell r="H359">
            <v>1520412105</v>
          </cell>
          <cell r="O359" t="str">
            <v>0202</v>
          </cell>
          <cell r="U359" t="str">
            <v>79311001</v>
          </cell>
          <cell r="W359" t="str">
            <v>DN</v>
          </cell>
        </row>
        <row r="360">
          <cell r="H360">
            <v>59279220</v>
          </cell>
          <cell r="O360" t="str">
            <v>0202</v>
          </cell>
          <cell r="U360" t="str">
            <v>01311005</v>
          </cell>
          <cell r="W360" t="str">
            <v>DN</v>
          </cell>
        </row>
        <row r="361">
          <cell r="H361">
            <v>103703600</v>
          </cell>
          <cell r="O361" t="str">
            <v>0202</v>
          </cell>
          <cell r="U361" t="str">
            <v>01311005</v>
          </cell>
          <cell r="W361" t="str">
            <v>DN</v>
          </cell>
        </row>
        <row r="362">
          <cell r="H362">
            <v>76549000</v>
          </cell>
          <cell r="O362" t="str">
            <v>0202</v>
          </cell>
          <cell r="U362" t="str">
            <v>01311005</v>
          </cell>
          <cell r="W362" t="str">
            <v>DN</v>
          </cell>
        </row>
        <row r="363">
          <cell r="H363">
            <v>443331200</v>
          </cell>
          <cell r="O363" t="str">
            <v>0202</v>
          </cell>
          <cell r="U363" t="str">
            <v>01311005</v>
          </cell>
          <cell r="W363" t="str">
            <v>DN</v>
          </cell>
        </row>
        <row r="364">
          <cell r="H364">
            <v>697748700</v>
          </cell>
          <cell r="O364" t="str">
            <v>0202</v>
          </cell>
          <cell r="U364" t="str">
            <v>01311005</v>
          </cell>
          <cell r="W364" t="str">
            <v>DN</v>
          </cell>
        </row>
        <row r="365">
          <cell r="H365">
            <v>1412206200</v>
          </cell>
          <cell r="O365" t="str">
            <v>0202</v>
          </cell>
          <cell r="U365" t="str">
            <v>89311001</v>
          </cell>
          <cell r="W365" t="str">
            <v>DN</v>
          </cell>
        </row>
        <row r="366">
          <cell r="H366">
            <v>339552000</v>
          </cell>
          <cell r="O366" t="str">
            <v>0202</v>
          </cell>
          <cell r="U366" t="str">
            <v>89311001</v>
          </cell>
          <cell r="W366" t="str">
            <v>DN</v>
          </cell>
        </row>
        <row r="367">
          <cell r="H367">
            <v>686743920</v>
          </cell>
          <cell r="O367" t="str">
            <v>0202</v>
          </cell>
          <cell r="U367" t="str">
            <v>89311001</v>
          </cell>
          <cell r="W367" t="str">
            <v>DN</v>
          </cell>
        </row>
        <row r="368">
          <cell r="H368">
            <v>105650000</v>
          </cell>
          <cell r="O368" t="str">
            <v>0202</v>
          </cell>
          <cell r="U368" t="str">
            <v>92311002</v>
          </cell>
          <cell r="W368" t="str">
            <v>DN</v>
          </cell>
        </row>
        <row r="369">
          <cell r="H369">
            <v>492855000</v>
          </cell>
          <cell r="O369" t="str">
            <v>0401</v>
          </cell>
          <cell r="U369" t="str">
            <v>48311002</v>
          </cell>
          <cell r="W369" t="str">
            <v>CN</v>
          </cell>
        </row>
        <row r="370">
          <cell r="H370">
            <v>623475200</v>
          </cell>
          <cell r="O370" t="str">
            <v>0401</v>
          </cell>
          <cell r="U370" t="str">
            <v>45311001</v>
          </cell>
          <cell r="W370" t="str">
            <v>DN</v>
          </cell>
        </row>
        <row r="371">
          <cell r="H371">
            <v>565000000</v>
          </cell>
          <cell r="O371" t="str">
            <v>0401</v>
          </cell>
          <cell r="U371" t="str">
            <v>51311001</v>
          </cell>
          <cell r="W371" t="str">
            <v>CN</v>
          </cell>
        </row>
        <row r="372">
          <cell r="H372">
            <v>1500000000</v>
          </cell>
          <cell r="O372" t="str">
            <v>0401</v>
          </cell>
          <cell r="U372" t="str">
            <v>38311001</v>
          </cell>
          <cell r="W372" t="str">
            <v>CN</v>
          </cell>
        </row>
        <row r="373">
          <cell r="H373">
            <v>600000000</v>
          </cell>
          <cell r="O373" t="str">
            <v>0401</v>
          </cell>
          <cell r="U373" t="str">
            <v>38311001</v>
          </cell>
          <cell r="W373" t="str">
            <v>CN</v>
          </cell>
        </row>
        <row r="374">
          <cell r="H374">
            <v>7000000000</v>
          </cell>
          <cell r="O374" t="str">
            <v>0202</v>
          </cell>
          <cell r="U374" t="str">
            <v>75311001</v>
          </cell>
          <cell r="W374" t="str">
            <v>DN</v>
          </cell>
        </row>
        <row r="375">
          <cell r="H375">
            <v>350000000</v>
          </cell>
          <cell r="O375" t="str">
            <v>0401</v>
          </cell>
          <cell r="U375" t="str">
            <v>56311002</v>
          </cell>
          <cell r="W375" t="str">
            <v>CN</v>
          </cell>
        </row>
        <row r="376">
          <cell r="H376">
            <v>2326567950</v>
          </cell>
          <cell r="O376" t="str">
            <v>0202</v>
          </cell>
          <cell r="U376" t="str">
            <v>01311005</v>
          </cell>
          <cell r="W376" t="str">
            <v>DN</v>
          </cell>
        </row>
        <row r="377">
          <cell r="H377">
            <v>1600560500</v>
          </cell>
          <cell r="O377" t="str">
            <v>0202</v>
          </cell>
          <cell r="U377" t="str">
            <v>01311005</v>
          </cell>
          <cell r="W377" t="str">
            <v>DN</v>
          </cell>
        </row>
        <row r="378">
          <cell r="H378">
            <v>210068100</v>
          </cell>
          <cell r="O378" t="str">
            <v>0202</v>
          </cell>
          <cell r="U378" t="str">
            <v>01311005</v>
          </cell>
          <cell r="W378" t="str">
            <v>DN</v>
          </cell>
        </row>
        <row r="379">
          <cell r="H379">
            <v>887516700</v>
          </cell>
          <cell r="O379" t="str">
            <v>0202</v>
          </cell>
          <cell r="U379" t="str">
            <v>01311005</v>
          </cell>
          <cell r="W379" t="str">
            <v>DN</v>
          </cell>
        </row>
        <row r="380">
          <cell r="H380">
            <v>205150000</v>
          </cell>
          <cell r="O380" t="str">
            <v>0202</v>
          </cell>
          <cell r="U380" t="str">
            <v>01311005</v>
          </cell>
          <cell r="W380" t="str">
            <v>DN</v>
          </cell>
        </row>
        <row r="381">
          <cell r="H381">
            <v>2538601650</v>
          </cell>
          <cell r="O381" t="str">
            <v>0202</v>
          </cell>
          <cell r="U381" t="str">
            <v>01311005</v>
          </cell>
          <cell r="W381" t="str">
            <v>DN</v>
          </cell>
        </row>
        <row r="382">
          <cell r="H382">
            <v>1102386000</v>
          </cell>
          <cell r="O382" t="str">
            <v>0202</v>
          </cell>
          <cell r="U382" t="str">
            <v>31311001</v>
          </cell>
          <cell r="W382" t="str">
            <v>DN</v>
          </cell>
        </row>
        <row r="383">
          <cell r="H383">
            <v>439932240</v>
          </cell>
          <cell r="O383" t="str">
            <v>0202</v>
          </cell>
          <cell r="U383" t="str">
            <v>31311001</v>
          </cell>
          <cell r="W383" t="str">
            <v>DN</v>
          </cell>
        </row>
        <row r="384">
          <cell r="H384">
            <v>450000000</v>
          </cell>
          <cell r="O384" t="str">
            <v>0401</v>
          </cell>
          <cell r="U384" t="str">
            <v>51311001</v>
          </cell>
          <cell r="W384" t="str">
            <v>CN</v>
          </cell>
        </row>
        <row r="385">
          <cell r="H385">
            <v>599864227</v>
          </cell>
          <cell r="O385" t="str">
            <v>0401</v>
          </cell>
          <cell r="U385" t="str">
            <v>01311010</v>
          </cell>
          <cell r="W385" t="str">
            <v>DN</v>
          </cell>
        </row>
        <row r="386">
          <cell r="H386">
            <v>509075280</v>
          </cell>
          <cell r="O386" t="str">
            <v>0401</v>
          </cell>
          <cell r="U386" t="str">
            <v>01311010</v>
          </cell>
          <cell r="W386" t="str">
            <v>DN</v>
          </cell>
        </row>
        <row r="387">
          <cell r="H387">
            <v>1458333342</v>
          </cell>
          <cell r="O387" t="str">
            <v>0401</v>
          </cell>
          <cell r="U387" t="str">
            <v>01311010</v>
          </cell>
          <cell r="W387" t="str">
            <v>DN</v>
          </cell>
        </row>
        <row r="388">
          <cell r="H388">
            <v>300000000</v>
          </cell>
          <cell r="O388" t="str">
            <v>0401</v>
          </cell>
          <cell r="U388" t="str">
            <v>17311001</v>
          </cell>
          <cell r="W388" t="str">
            <v>CN</v>
          </cell>
        </row>
        <row r="389">
          <cell r="H389">
            <v>1250019186</v>
          </cell>
          <cell r="O389" t="str">
            <v>0401</v>
          </cell>
          <cell r="U389" t="str">
            <v>01311010</v>
          </cell>
          <cell r="W389" t="str">
            <v>DN</v>
          </cell>
        </row>
        <row r="390">
          <cell r="H390">
            <v>1691666660</v>
          </cell>
          <cell r="O390" t="str">
            <v>0401</v>
          </cell>
          <cell r="U390" t="str">
            <v>01311010</v>
          </cell>
          <cell r="W390" t="str">
            <v>DN</v>
          </cell>
        </row>
        <row r="391">
          <cell r="H391">
            <v>2333333340</v>
          </cell>
          <cell r="O391" t="str">
            <v>0401</v>
          </cell>
          <cell r="U391" t="str">
            <v>01311010</v>
          </cell>
          <cell r="W391" t="str">
            <v>DN</v>
          </cell>
        </row>
        <row r="392">
          <cell r="H392">
            <v>1128377656</v>
          </cell>
          <cell r="O392" t="str">
            <v>0401</v>
          </cell>
          <cell r="U392" t="str">
            <v>01311010</v>
          </cell>
          <cell r="W392" t="str">
            <v>DN</v>
          </cell>
        </row>
        <row r="393">
          <cell r="H393">
            <v>465144862</v>
          </cell>
          <cell r="O393" t="str">
            <v>0401</v>
          </cell>
          <cell r="U393" t="str">
            <v>01311010</v>
          </cell>
          <cell r="W393" t="str">
            <v>DN</v>
          </cell>
        </row>
        <row r="394">
          <cell r="H394">
            <v>984800300</v>
          </cell>
          <cell r="O394" t="str">
            <v>0401</v>
          </cell>
          <cell r="U394" t="str">
            <v>87311001</v>
          </cell>
          <cell r="W394" t="str">
            <v>DN</v>
          </cell>
        </row>
        <row r="395">
          <cell r="H395">
            <v>782796300</v>
          </cell>
          <cell r="O395" t="str">
            <v>0401</v>
          </cell>
          <cell r="U395" t="str">
            <v>87311001</v>
          </cell>
          <cell r="W395" t="str">
            <v>DN</v>
          </cell>
        </row>
        <row r="396">
          <cell r="H396">
            <v>150000000</v>
          </cell>
          <cell r="O396" t="str">
            <v>0401</v>
          </cell>
          <cell r="U396" t="str">
            <v>33311001</v>
          </cell>
          <cell r="W396" t="str">
            <v>CN</v>
          </cell>
        </row>
        <row r="397">
          <cell r="H397">
            <v>2310757000</v>
          </cell>
          <cell r="O397" t="str">
            <v>0401</v>
          </cell>
          <cell r="U397" t="str">
            <v>01311013</v>
          </cell>
          <cell r="W397" t="str">
            <v>DN</v>
          </cell>
        </row>
        <row r="398">
          <cell r="H398">
            <v>9869799650</v>
          </cell>
          <cell r="O398" t="str">
            <v>0402</v>
          </cell>
          <cell r="U398" t="str">
            <v>79311003</v>
          </cell>
          <cell r="W398" t="str">
            <v>DN</v>
          </cell>
        </row>
        <row r="399">
          <cell r="H399">
            <v>312000000</v>
          </cell>
          <cell r="O399" t="str">
            <v>0401</v>
          </cell>
          <cell r="U399" t="str">
            <v>25311001</v>
          </cell>
          <cell r="W399" t="str">
            <v>DN</v>
          </cell>
        </row>
        <row r="400">
          <cell r="H400">
            <v>188000000</v>
          </cell>
          <cell r="O400" t="str">
            <v>0401</v>
          </cell>
          <cell r="U400" t="str">
            <v>25311001</v>
          </cell>
          <cell r="W400" t="str">
            <v>DN</v>
          </cell>
        </row>
        <row r="401">
          <cell r="H401">
            <v>703000000</v>
          </cell>
          <cell r="O401" t="str">
            <v>0401</v>
          </cell>
          <cell r="U401" t="str">
            <v>25311001</v>
          </cell>
          <cell r="W401" t="str">
            <v>DN</v>
          </cell>
        </row>
        <row r="402">
          <cell r="H402">
            <v>1000000000</v>
          </cell>
          <cell r="O402" t="str">
            <v>0401</v>
          </cell>
          <cell r="U402" t="str">
            <v>25311001</v>
          </cell>
          <cell r="W402" t="str">
            <v>DN</v>
          </cell>
        </row>
        <row r="403">
          <cell r="H403">
            <v>483859678</v>
          </cell>
          <cell r="O403" t="str">
            <v>0401</v>
          </cell>
          <cell r="U403" t="str">
            <v>25311001</v>
          </cell>
          <cell r="W403" t="str">
            <v>DN</v>
          </cell>
        </row>
        <row r="404">
          <cell r="H404">
            <v>233000000</v>
          </cell>
          <cell r="O404" t="str">
            <v>0401</v>
          </cell>
          <cell r="U404" t="str">
            <v>38311001</v>
          </cell>
          <cell r="W404" t="str">
            <v>DN</v>
          </cell>
        </row>
        <row r="405">
          <cell r="H405">
            <v>800000000</v>
          </cell>
          <cell r="O405" t="str">
            <v>0401</v>
          </cell>
          <cell r="U405" t="str">
            <v>72311001</v>
          </cell>
          <cell r="W405" t="str">
            <v>CN</v>
          </cell>
        </row>
        <row r="406">
          <cell r="H406">
            <v>1400000000</v>
          </cell>
          <cell r="O406" t="str">
            <v>0401</v>
          </cell>
          <cell r="U406" t="str">
            <v>72311001</v>
          </cell>
          <cell r="W406" t="str">
            <v>CN</v>
          </cell>
        </row>
        <row r="407">
          <cell r="H407">
            <v>1500000000</v>
          </cell>
          <cell r="O407" t="str">
            <v>0401</v>
          </cell>
          <cell r="U407" t="str">
            <v>72311001</v>
          </cell>
          <cell r="W407" t="str">
            <v>CN</v>
          </cell>
        </row>
        <row r="408">
          <cell r="H408">
            <v>2000000000</v>
          </cell>
          <cell r="O408" t="str">
            <v>0202</v>
          </cell>
          <cell r="U408" t="str">
            <v>72311001</v>
          </cell>
          <cell r="W408" t="str">
            <v>DN</v>
          </cell>
        </row>
        <row r="409">
          <cell r="H409">
            <v>2000000000</v>
          </cell>
          <cell r="O409" t="str">
            <v>0202</v>
          </cell>
          <cell r="U409" t="str">
            <v>72311001</v>
          </cell>
          <cell r="W409" t="str">
            <v>DN</v>
          </cell>
        </row>
        <row r="410">
          <cell r="H410">
            <v>2100000000</v>
          </cell>
          <cell r="O410" t="str">
            <v>0202</v>
          </cell>
          <cell r="U410" t="str">
            <v>72311001</v>
          </cell>
          <cell r="W410" t="str">
            <v>DN</v>
          </cell>
        </row>
        <row r="411">
          <cell r="H411">
            <v>1000000000</v>
          </cell>
          <cell r="O411" t="str">
            <v>0202</v>
          </cell>
          <cell r="U411" t="str">
            <v>72311001</v>
          </cell>
          <cell r="W411" t="str">
            <v>DN</v>
          </cell>
        </row>
        <row r="412">
          <cell r="H412">
            <v>456000000</v>
          </cell>
          <cell r="O412" t="str">
            <v>0401</v>
          </cell>
          <cell r="U412" t="str">
            <v>79311003</v>
          </cell>
          <cell r="W412" t="str">
            <v>DN</v>
          </cell>
        </row>
        <row r="413">
          <cell r="H413">
            <v>158898000</v>
          </cell>
          <cell r="O413" t="str">
            <v>0401</v>
          </cell>
          <cell r="U413" t="str">
            <v>79311003</v>
          </cell>
          <cell r="W413" t="str">
            <v>DN</v>
          </cell>
        </row>
        <row r="414">
          <cell r="H414">
            <v>800000000</v>
          </cell>
          <cell r="O414" t="str">
            <v>0401</v>
          </cell>
          <cell r="U414" t="str">
            <v>64311001</v>
          </cell>
          <cell r="W414" t="str">
            <v>CN</v>
          </cell>
        </row>
        <row r="415">
          <cell r="H415">
            <v>1411300222</v>
          </cell>
          <cell r="O415" t="str">
            <v>0401</v>
          </cell>
          <cell r="U415" t="str">
            <v>01311011</v>
          </cell>
          <cell r="W415" t="str">
            <v>DN</v>
          </cell>
        </row>
        <row r="416">
          <cell r="H416">
            <v>765951120</v>
          </cell>
          <cell r="O416" t="str">
            <v>0401</v>
          </cell>
          <cell r="U416" t="str">
            <v>01311011</v>
          </cell>
          <cell r="W416" t="str">
            <v>DN</v>
          </cell>
        </row>
        <row r="417">
          <cell r="H417">
            <v>1561000000</v>
          </cell>
          <cell r="O417" t="str">
            <v>0202</v>
          </cell>
          <cell r="U417" t="str">
            <v>72311001</v>
          </cell>
          <cell r="W417" t="str">
            <v>DN</v>
          </cell>
        </row>
        <row r="418">
          <cell r="H418">
            <v>1000000000</v>
          </cell>
          <cell r="O418" t="str">
            <v>0202</v>
          </cell>
          <cell r="U418" t="str">
            <v>72311001</v>
          </cell>
          <cell r="W418" t="str">
            <v>DN</v>
          </cell>
        </row>
        <row r="419">
          <cell r="H419">
            <v>200000000</v>
          </cell>
          <cell r="O419" t="str">
            <v>0202</v>
          </cell>
          <cell r="U419" t="str">
            <v>72311001</v>
          </cell>
          <cell r="W419" t="str">
            <v>DN</v>
          </cell>
        </row>
        <row r="420">
          <cell r="H420">
            <v>2000000000</v>
          </cell>
          <cell r="O420" t="str">
            <v>0202</v>
          </cell>
          <cell r="U420" t="str">
            <v>72311001</v>
          </cell>
          <cell r="W420" t="str">
            <v>DN</v>
          </cell>
        </row>
        <row r="421">
          <cell r="H421">
            <v>2000000000</v>
          </cell>
          <cell r="O421" t="str">
            <v>0202</v>
          </cell>
          <cell r="U421" t="str">
            <v>72311001</v>
          </cell>
          <cell r="W421" t="str">
            <v>DN</v>
          </cell>
        </row>
        <row r="422">
          <cell r="H422">
            <v>3000000000</v>
          </cell>
          <cell r="O422" t="str">
            <v>0202</v>
          </cell>
          <cell r="U422" t="str">
            <v>72311001</v>
          </cell>
          <cell r="W422" t="str">
            <v>DN</v>
          </cell>
        </row>
        <row r="423">
          <cell r="H423">
            <v>3000000000</v>
          </cell>
          <cell r="O423" t="str">
            <v>0401</v>
          </cell>
          <cell r="U423" t="str">
            <v>79311001</v>
          </cell>
          <cell r="W423" t="str">
            <v>DN</v>
          </cell>
        </row>
        <row r="424">
          <cell r="H424">
            <v>14792155000</v>
          </cell>
          <cell r="O424" t="str">
            <v>0401</v>
          </cell>
          <cell r="U424" t="str">
            <v>79311001</v>
          </cell>
          <cell r="W424" t="str">
            <v>DN</v>
          </cell>
        </row>
        <row r="425">
          <cell r="H425">
            <v>2231998330</v>
          </cell>
          <cell r="O425" t="str">
            <v>0401</v>
          </cell>
          <cell r="U425" t="str">
            <v>79311001</v>
          </cell>
          <cell r="W425" t="str">
            <v>DN</v>
          </cell>
        </row>
        <row r="426">
          <cell r="H426">
            <v>2600000000</v>
          </cell>
          <cell r="O426" t="str">
            <v>0401</v>
          </cell>
          <cell r="U426" t="str">
            <v>79311001</v>
          </cell>
          <cell r="W426" t="str">
            <v>DN</v>
          </cell>
        </row>
        <row r="427">
          <cell r="H427">
            <v>3548349786</v>
          </cell>
          <cell r="O427" t="str">
            <v>0401</v>
          </cell>
          <cell r="U427" t="str">
            <v>79311001</v>
          </cell>
          <cell r="W427" t="str">
            <v>DN</v>
          </cell>
        </row>
        <row r="428">
          <cell r="H428">
            <v>3928428000</v>
          </cell>
          <cell r="O428" t="str">
            <v>0401</v>
          </cell>
          <cell r="U428" t="str">
            <v>79311001</v>
          </cell>
          <cell r="W428" t="str">
            <v>DN</v>
          </cell>
        </row>
        <row r="429">
          <cell r="H429">
            <v>1800000000</v>
          </cell>
          <cell r="O429" t="str">
            <v>0401</v>
          </cell>
          <cell r="U429" t="str">
            <v>64311001</v>
          </cell>
          <cell r="W429" t="str">
            <v>CN</v>
          </cell>
        </row>
        <row r="430">
          <cell r="H430">
            <v>377287000</v>
          </cell>
          <cell r="O430" t="str">
            <v>0402</v>
          </cell>
          <cell r="U430" t="str">
            <v>01311004</v>
          </cell>
          <cell r="W430" t="str">
            <v>DN</v>
          </cell>
        </row>
        <row r="431">
          <cell r="H431">
            <v>255000000</v>
          </cell>
          <cell r="O431" t="str">
            <v>0402</v>
          </cell>
          <cell r="U431" t="str">
            <v>01311004</v>
          </cell>
          <cell r="W431" t="str">
            <v>DN</v>
          </cell>
        </row>
        <row r="432">
          <cell r="H432">
            <v>501505055</v>
          </cell>
          <cell r="O432" t="str">
            <v>0401</v>
          </cell>
          <cell r="U432" t="str">
            <v>01311013</v>
          </cell>
          <cell r="W432" t="str">
            <v>DN</v>
          </cell>
        </row>
        <row r="433">
          <cell r="H433">
            <v>9592500</v>
          </cell>
          <cell r="O433" t="str">
            <v>0402</v>
          </cell>
          <cell r="U433" t="str">
            <v>48311001</v>
          </cell>
          <cell r="W433" t="str">
            <v>DN</v>
          </cell>
        </row>
        <row r="434">
          <cell r="H434">
            <v>250000000</v>
          </cell>
          <cell r="O434" t="str">
            <v>0401</v>
          </cell>
          <cell r="U434" t="str">
            <v>89311001</v>
          </cell>
          <cell r="W434" t="str">
            <v>CN</v>
          </cell>
        </row>
        <row r="435">
          <cell r="H435">
            <v>347451000</v>
          </cell>
          <cell r="O435" t="str">
            <v>0402</v>
          </cell>
          <cell r="U435" t="str">
            <v>01311008</v>
          </cell>
          <cell r="W435" t="str">
            <v>DN</v>
          </cell>
        </row>
        <row r="436">
          <cell r="H436">
            <v>116515450</v>
          </cell>
          <cell r="O436" t="str">
            <v>0402</v>
          </cell>
          <cell r="U436" t="str">
            <v>01311008</v>
          </cell>
          <cell r="W436" t="str">
            <v>DN</v>
          </cell>
        </row>
        <row r="437">
          <cell r="H437">
            <v>4167000</v>
          </cell>
          <cell r="O437" t="str">
            <v>0402</v>
          </cell>
          <cell r="U437" t="str">
            <v>01311008</v>
          </cell>
          <cell r="W437" t="str">
            <v>DN</v>
          </cell>
        </row>
        <row r="438">
          <cell r="H438">
            <v>345000000</v>
          </cell>
          <cell r="O438" t="str">
            <v>0401</v>
          </cell>
          <cell r="U438" t="str">
            <v>19311001</v>
          </cell>
          <cell r="W438" t="str">
            <v>DN</v>
          </cell>
        </row>
        <row r="439">
          <cell r="H439">
            <v>170000000</v>
          </cell>
          <cell r="O439" t="str">
            <v>0401</v>
          </cell>
          <cell r="U439" t="str">
            <v>19311001</v>
          </cell>
          <cell r="W439" t="str">
            <v>DN</v>
          </cell>
        </row>
        <row r="440">
          <cell r="H440">
            <v>100000000</v>
          </cell>
          <cell r="O440" t="str">
            <v>0401</v>
          </cell>
          <cell r="U440" t="str">
            <v>19311001</v>
          </cell>
          <cell r="W440" t="str">
            <v>DN</v>
          </cell>
        </row>
        <row r="441">
          <cell r="H441">
            <v>350000000</v>
          </cell>
          <cell r="O441" t="str">
            <v>0401</v>
          </cell>
          <cell r="U441" t="str">
            <v>19311001</v>
          </cell>
          <cell r="W441" t="str">
            <v>DN</v>
          </cell>
        </row>
        <row r="442">
          <cell r="H442">
            <v>102097000</v>
          </cell>
          <cell r="O442" t="str">
            <v>0202</v>
          </cell>
          <cell r="U442" t="str">
            <v>01311014</v>
          </cell>
          <cell r="W442" t="str">
            <v>CN</v>
          </cell>
        </row>
        <row r="443">
          <cell r="H443">
            <v>350000000</v>
          </cell>
          <cell r="O443" t="str">
            <v>0401</v>
          </cell>
          <cell r="U443" t="str">
            <v>19311001</v>
          </cell>
          <cell r="W443" t="str">
            <v>DN</v>
          </cell>
        </row>
        <row r="444">
          <cell r="H444">
            <v>250000000</v>
          </cell>
          <cell r="O444" t="str">
            <v>0401</v>
          </cell>
          <cell r="U444" t="str">
            <v>19311001</v>
          </cell>
          <cell r="W444" t="str">
            <v>DN</v>
          </cell>
        </row>
        <row r="445">
          <cell r="H445">
            <v>170000000</v>
          </cell>
          <cell r="O445" t="str">
            <v>0401</v>
          </cell>
          <cell r="U445" t="str">
            <v>19311001</v>
          </cell>
          <cell r="W445" t="str">
            <v>DN</v>
          </cell>
        </row>
        <row r="446">
          <cell r="H446">
            <v>450000000</v>
          </cell>
          <cell r="O446" t="str">
            <v>0401</v>
          </cell>
          <cell r="U446" t="str">
            <v>19311001</v>
          </cell>
          <cell r="W446" t="str">
            <v>DN</v>
          </cell>
        </row>
        <row r="447">
          <cell r="H447">
            <v>250000000</v>
          </cell>
          <cell r="O447" t="str">
            <v>0401</v>
          </cell>
          <cell r="U447" t="str">
            <v>19311001</v>
          </cell>
          <cell r="W447" t="str">
            <v>DN</v>
          </cell>
        </row>
        <row r="448">
          <cell r="H448">
            <v>100000000</v>
          </cell>
          <cell r="O448" t="str">
            <v>0401</v>
          </cell>
          <cell r="U448" t="str">
            <v>19311001</v>
          </cell>
          <cell r="W448" t="str">
            <v>DN</v>
          </cell>
        </row>
        <row r="449">
          <cell r="H449">
            <v>100000000</v>
          </cell>
          <cell r="O449" t="str">
            <v>0401</v>
          </cell>
          <cell r="U449" t="str">
            <v>19311001</v>
          </cell>
          <cell r="W449" t="str">
            <v>DN</v>
          </cell>
        </row>
        <row r="450">
          <cell r="H450">
            <v>213776264</v>
          </cell>
          <cell r="O450" t="str">
            <v>0202</v>
          </cell>
          <cell r="U450" t="str">
            <v>01311010</v>
          </cell>
          <cell r="W450" t="str">
            <v>DN</v>
          </cell>
        </row>
        <row r="451">
          <cell r="H451">
            <v>212532445</v>
          </cell>
          <cell r="O451" t="str">
            <v>0202</v>
          </cell>
          <cell r="U451" t="str">
            <v>01311010</v>
          </cell>
          <cell r="W451" t="str">
            <v>DN</v>
          </cell>
        </row>
        <row r="452">
          <cell r="H452">
            <v>447372731</v>
          </cell>
          <cell r="O452" t="str">
            <v>0202</v>
          </cell>
          <cell r="U452" t="str">
            <v>01311010</v>
          </cell>
          <cell r="W452" t="str">
            <v>DN</v>
          </cell>
        </row>
        <row r="453">
          <cell r="H453">
            <v>261731035</v>
          </cell>
          <cell r="O453" t="str">
            <v>0202</v>
          </cell>
          <cell r="U453" t="str">
            <v>01311010</v>
          </cell>
          <cell r="W453" t="str">
            <v>DN</v>
          </cell>
        </row>
        <row r="454">
          <cell r="H454">
            <v>1024358079</v>
          </cell>
          <cell r="O454" t="str">
            <v>0401</v>
          </cell>
          <cell r="U454" t="str">
            <v>01311006</v>
          </cell>
          <cell r="W454" t="str">
            <v>DN</v>
          </cell>
        </row>
        <row r="455">
          <cell r="H455">
            <v>2843282993</v>
          </cell>
          <cell r="O455" t="str">
            <v>0401</v>
          </cell>
          <cell r="U455" t="str">
            <v>01311006</v>
          </cell>
          <cell r="W455" t="str">
            <v>DN</v>
          </cell>
        </row>
        <row r="456">
          <cell r="H456">
            <v>897234674</v>
          </cell>
          <cell r="O456" t="str">
            <v>0401</v>
          </cell>
          <cell r="U456" t="str">
            <v>01311006</v>
          </cell>
          <cell r="W456" t="str">
            <v>DN</v>
          </cell>
        </row>
        <row r="457">
          <cell r="H457">
            <v>1687500000</v>
          </cell>
          <cell r="O457" t="str">
            <v>0401</v>
          </cell>
          <cell r="U457" t="str">
            <v>01311006</v>
          </cell>
          <cell r="W457" t="str">
            <v>DN</v>
          </cell>
        </row>
        <row r="458">
          <cell r="H458">
            <v>555800000</v>
          </cell>
          <cell r="O458" t="str">
            <v>0401</v>
          </cell>
          <cell r="U458" t="str">
            <v>49311001</v>
          </cell>
          <cell r="W458" t="str">
            <v>DN</v>
          </cell>
        </row>
        <row r="459">
          <cell r="H459">
            <v>1270000000</v>
          </cell>
          <cell r="O459" t="str">
            <v>0401</v>
          </cell>
          <cell r="U459" t="str">
            <v>49311001</v>
          </cell>
          <cell r="W459" t="str">
            <v>DN</v>
          </cell>
        </row>
        <row r="460">
          <cell r="H460">
            <v>2245000000</v>
          </cell>
          <cell r="O460" t="str">
            <v>0401</v>
          </cell>
          <cell r="U460" t="str">
            <v>49311001</v>
          </cell>
          <cell r="W460" t="str">
            <v>DN</v>
          </cell>
        </row>
        <row r="461">
          <cell r="H461">
            <v>389070000</v>
          </cell>
          <cell r="O461" t="str">
            <v>0401</v>
          </cell>
          <cell r="U461" t="str">
            <v>01311004</v>
          </cell>
          <cell r="W461" t="str">
            <v>DN</v>
          </cell>
        </row>
        <row r="462">
          <cell r="H462">
            <v>172990400</v>
          </cell>
          <cell r="O462" t="str">
            <v>0202</v>
          </cell>
          <cell r="U462" t="str">
            <v>01311005</v>
          </cell>
          <cell r="W462" t="str">
            <v>DN</v>
          </cell>
        </row>
        <row r="463">
          <cell r="H463">
            <v>462915800</v>
          </cell>
          <cell r="O463" t="str">
            <v>0202</v>
          </cell>
          <cell r="U463" t="str">
            <v>01311005</v>
          </cell>
          <cell r="W463" t="str">
            <v>DN</v>
          </cell>
        </row>
        <row r="464">
          <cell r="H464">
            <v>2370885000</v>
          </cell>
          <cell r="O464" t="str">
            <v>0202</v>
          </cell>
          <cell r="U464" t="str">
            <v>01311005</v>
          </cell>
          <cell r="W464" t="str">
            <v>DN</v>
          </cell>
        </row>
        <row r="465">
          <cell r="H465">
            <v>1844493000</v>
          </cell>
          <cell r="O465" t="str">
            <v>0202</v>
          </cell>
          <cell r="U465" t="str">
            <v>01311005</v>
          </cell>
          <cell r="W465" t="str">
            <v>DN</v>
          </cell>
        </row>
        <row r="466">
          <cell r="H466">
            <v>1460501400</v>
          </cell>
          <cell r="O466" t="str">
            <v>0202</v>
          </cell>
          <cell r="U466" t="str">
            <v>01311005</v>
          </cell>
          <cell r="W466" t="str">
            <v>DN</v>
          </cell>
        </row>
        <row r="467">
          <cell r="H467">
            <v>700000000</v>
          </cell>
          <cell r="O467" t="str">
            <v>0401</v>
          </cell>
          <cell r="U467" t="str">
            <v>01311037</v>
          </cell>
          <cell r="W467" t="str">
            <v>DN</v>
          </cell>
        </row>
        <row r="468">
          <cell r="H468">
            <v>439339400</v>
          </cell>
          <cell r="O468" t="str">
            <v>0202</v>
          </cell>
          <cell r="U468" t="str">
            <v>01311005</v>
          </cell>
          <cell r="W468" t="str">
            <v>DN</v>
          </cell>
        </row>
        <row r="469">
          <cell r="H469">
            <v>6295860000</v>
          </cell>
          <cell r="O469" t="str">
            <v>0202</v>
          </cell>
          <cell r="U469" t="str">
            <v>89311001</v>
          </cell>
          <cell r="W469" t="str">
            <v>DN</v>
          </cell>
        </row>
        <row r="470">
          <cell r="H470">
            <v>499896000</v>
          </cell>
          <cell r="O470" t="str">
            <v>0202</v>
          </cell>
          <cell r="U470" t="str">
            <v>89311001</v>
          </cell>
          <cell r="W470" t="str">
            <v>DN</v>
          </cell>
        </row>
        <row r="471">
          <cell r="H471">
            <v>300000000</v>
          </cell>
          <cell r="O471" t="str">
            <v>0401</v>
          </cell>
          <cell r="U471" t="str">
            <v>52311001</v>
          </cell>
          <cell r="W471" t="str">
            <v>CN</v>
          </cell>
        </row>
        <row r="472">
          <cell r="H472">
            <v>200000000</v>
          </cell>
          <cell r="O472" t="str">
            <v>0401</v>
          </cell>
          <cell r="U472" t="str">
            <v>79311001</v>
          </cell>
          <cell r="W472" t="str">
            <v>CN</v>
          </cell>
        </row>
        <row r="473">
          <cell r="H473">
            <v>16493092</v>
          </cell>
          <cell r="O473" t="str">
            <v>0202</v>
          </cell>
          <cell r="U473" t="str">
            <v>01311005</v>
          </cell>
          <cell r="W473" t="str">
            <v>DN</v>
          </cell>
        </row>
        <row r="474">
          <cell r="H474">
            <v>72309600</v>
          </cell>
          <cell r="O474" t="str">
            <v>0202</v>
          </cell>
          <cell r="U474" t="str">
            <v>01311005</v>
          </cell>
          <cell r="W474" t="str">
            <v>DN</v>
          </cell>
        </row>
        <row r="475">
          <cell r="H475">
            <v>186483000</v>
          </cell>
          <cell r="O475" t="str">
            <v>0202</v>
          </cell>
          <cell r="U475" t="str">
            <v>01311005</v>
          </cell>
          <cell r="W475" t="str">
            <v>DN</v>
          </cell>
        </row>
        <row r="476">
          <cell r="H476">
            <v>1295672700</v>
          </cell>
          <cell r="O476" t="str">
            <v>0202</v>
          </cell>
          <cell r="U476" t="str">
            <v>01311005</v>
          </cell>
          <cell r="W476" t="str">
            <v>DN</v>
          </cell>
        </row>
        <row r="477">
          <cell r="H477">
            <v>7000000000</v>
          </cell>
          <cell r="O477" t="str">
            <v>0101</v>
          </cell>
          <cell r="U477" t="str">
            <v>64311001</v>
          </cell>
          <cell r="W477" t="str">
            <v>DN</v>
          </cell>
        </row>
        <row r="478">
          <cell r="H478">
            <v>1077551425</v>
          </cell>
          <cell r="O478" t="str">
            <v>0202</v>
          </cell>
          <cell r="U478" t="str">
            <v>79311001</v>
          </cell>
          <cell r="W478" t="str">
            <v>DN</v>
          </cell>
        </row>
        <row r="479">
          <cell r="H479">
            <v>3000000000</v>
          </cell>
          <cell r="O479" t="str">
            <v>0401</v>
          </cell>
          <cell r="U479" t="str">
            <v>79311018</v>
          </cell>
          <cell r="W479" t="str">
            <v>CN</v>
          </cell>
        </row>
        <row r="480">
          <cell r="H480">
            <v>500000000</v>
          </cell>
          <cell r="O480" t="str">
            <v>0802</v>
          </cell>
          <cell r="U480" t="str">
            <v>52311001</v>
          </cell>
          <cell r="W480" t="str">
            <v>CN</v>
          </cell>
        </row>
        <row r="481">
          <cell r="H481">
            <v>200000000</v>
          </cell>
          <cell r="O481" t="str">
            <v>0401</v>
          </cell>
          <cell r="U481" t="str">
            <v>22311001</v>
          </cell>
          <cell r="W481" t="str">
            <v>CN</v>
          </cell>
        </row>
        <row r="482">
          <cell r="H482">
            <v>2529885056</v>
          </cell>
          <cell r="O482" t="str">
            <v>0401</v>
          </cell>
          <cell r="U482" t="str">
            <v>01311010</v>
          </cell>
          <cell r="W482" t="str">
            <v>DN</v>
          </cell>
        </row>
        <row r="483">
          <cell r="H483">
            <v>1250019186</v>
          </cell>
          <cell r="O483" t="str">
            <v>0401</v>
          </cell>
          <cell r="U483" t="str">
            <v>01311010</v>
          </cell>
          <cell r="W483" t="str">
            <v>DN</v>
          </cell>
        </row>
        <row r="484">
          <cell r="H484">
            <v>2417021281</v>
          </cell>
          <cell r="O484" t="str">
            <v>0401</v>
          </cell>
          <cell r="U484" t="str">
            <v>01311010</v>
          </cell>
          <cell r="W484" t="str">
            <v>DN</v>
          </cell>
        </row>
        <row r="485">
          <cell r="H485">
            <v>3131972270</v>
          </cell>
          <cell r="O485" t="str">
            <v>0402</v>
          </cell>
          <cell r="U485" t="str">
            <v>79311003</v>
          </cell>
          <cell r="W485" t="str">
            <v>DN</v>
          </cell>
        </row>
        <row r="486">
          <cell r="H486">
            <v>2737000000</v>
          </cell>
          <cell r="O486" t="str">
            <v>0401</v>
          </cell>
          <cell r="U486" t="str">
            <v>01311005</v>
          </cell>
          <cell r="W486" t="str">
            <v>DN</v>
          </cell>
        </row>
        <row r="487">
          <cell r="H487">
            <v>6490000000</v>
          </cell>
          <cell r="O487" t="str">
            <v>0402</v>
          </cell>
          <cell r="U487" t="str">
            <v>79311003</v>
          </cell>
          <cell r="W487" t="str">
            <v>DN</v>
          </cell>
        </row>
        <row r="488">
          <cell r="H488">
            <v>100000000</v>
          </cell>
          <cell r="O488" t="str">
            <v>0401</v>
          </cell>
          <cell r="U488" t="str">
            <v>22311001</v>
          </cell>
          <cell r="W488" t="str">
            <v>CN</v>
          </cell>
        </row>
        <row r="489">
          <cell r="H489">
            <v>350000000</v>
          </cell>
          <cell r="O489" t="str">
            <v>0401</v>
          </cell>
          <cell r="U489" t="str">
            <v>52311001</v>
          </cell>
          <cell r="W489" t="str">
            <v>CN</v>
          </cell>
        </row>
        <row r="490">
          <cell r="H490">
            <v>4277000000</v>
          </cell>
          <cell r="O490" t="str">
            <v>0401</v>
          </cell>
          <cell r="U490" t="str">
            <v>27311001</v>
          </cell>
          <cell r="W490" t="str">
            <v>DN</v>
          </cell>
        </row>
        <row r="491">
          <cell r="H491">
            <v>375665669</v>
          </cell>
          <cell r="O491" t="str">
            <v>0401</v>
          </cell>
          <cell r="U491" t="str">
            <v>27311001</v>
          </cell>
          <cell r="W491" t="str">
            <v>DN</v>
          </cell>
        </row>
        <row r="492">
          <cell r="H492">
            <v>135000000</v>
          </cell>
          <cell r="O492" t="str">
            <v>0402</v>
          </cell>
          <cell r="U492" t="str">
            <v>74311003</v>
          </cell>
          <cell r="W492" t="str">
            <v>DN</v>
          </cell>
        </row>
        <row r="493">
          <cell r="H493">
            <v>250000000</v>
          </cell>
          <cell r="O493" t="str">
            <v>0401</v>
          </cell>
          <cell r="U493" t="str">
            <v>01311012</v>
          </cell>
          <cell r="W493" t="str">
            <v>DN</v>
          </cell>
        </row>
        <row r="494">
          <cell r="H494">
            <v>250000000</v>
          </cell>
          <cell r="O494" t="str">
            <v>0401</v>
          </cell>
          <cell r="U494" t="str">
            <v>01311012</v>
          </cell>
          <cell r="W494" t="str">
            <v>DN</v>
          </cell>
        </row>
        <row r="495">
          <cell r="H495">
            <v>200000000</v>
          </cell>
          <cell r="O495" t="str">
            <v>0401</v>
          </cell>
          <cell r="U495" t="str">
            <v>01311012</v>
          </cell>
          <cell r="W495" t="str">
            <v>DN</v>
          </cell>
        </row>
        <row r="496">
          <cell r="H496">
            <v>350000000</v>
          </cell>
          <cell r="O496" t="str">
            <v>0401</v>
          </cell>
          <cell r="U496" t="str">
            <v>01311012</v>
          </cell>
          <cell r="W496" t="str">
            <v>DN</v>
          </cell>
        </row>
        <row r="497">
          <cell r="H497">
            <v>240081000</v>
          </cell>
          <cell r="O497" t="str">
            <v>0202</v>
          </cell>
          <cell r="U497" t="str">
            <v>79311005</v>
          </cell>
          <cell r="W497" t="str">
            <v>DN</v>
          </cell>
        </row>
        <row r="498">
          <cell r="H498">
            <v>169542500</v>
          </cell>
          <cell r="O498" t="str">
            <v>0202</v>
          </cell>
          <cell r="U498" t="str">
            <v>79311005</v>
          </cell>
          <cell r="W498" t="str">
            <v>DN</v>
          </cell>
        </row>
        <row r="499">
          <cell r="H499">
            <v>284300000</v>
          </cell>
          <cell r="O499" t="str">
            <v>0402</v>
          </cell>
          <cell r="U499" t="str">
            <v>74311003</v>
          </cell>
          <cell r="W499" t="str">
            <v>DN</v>
          </cell>
        </row>
        <row r="500">
          <cell r="H500">
            <v>118750000</v>
          </cell>
          <cell r="O500" t="str">
            <v>0402</v>
          </cell>
          <cell r="U500" t="str">
            <v>74311003</v>
          </cell>
          <cell r="W500" t="str">
            <v>DN</v>
          </cell>
        </row>
        <row r="501">
          <cell r="H501">
            <v>24983460</v>
          </cell>
          <cell r="O501" t="str">
            <v>0403</v>
          </cell>
          <cell r="U501" t="str">
            <v>56311001</v>
          </cell>
          <cell r="W501" t="str">
            <v>DN</v>
          </cell>
        </row>
        <row r="502">
          <cell r="H502">
            <v>87317709</v>
          </cell>
          <cell r="O502" t="str">
            <v>0403</v>
          </cell>
          <cell r="U502" t="str">
            <v>56311001</v>
          </cell>
          <cell r="W502" t="str">
            <v>DN</v>
          </cell>
        </row>
        <row r="503">
          <cell r="H503">
            <v>49666152</v>
          </cell>
          <cell r="O503" t="str">
            <v>0403</v>
          </cell>
          <cell r="U503" t="str">
            <v>56311001</v>
          </cell>
          <cell r="W503" t="str">
            <v>DN</v>
          </cell>
        </row>
        <row r="504">
          <cell r="H504">
            <v>1746354196</v>
          </cell>
          <cell r="O504" t="str">
            <v>0403</v>
          </cell>
          <cell r="U504" t="str">
            <v>56311001</v>
          </cell>
          <cell r="W504" t="str">
            <v>DN</v>
          </cell>
        </row>
        <row r="505">
          <cell r="H505">
            <v>598982345</v>
          </cell>
          <cell r="O505" t="str">
            <v>0403</v>
          </cell>
          <cell r="U505" t="str">
            <v>56311001</v>
          </cell>
          <cell r="W505" t="str">
            <v>DN</v>
          </cell>
        </row>
        <row r="506">
          <cell r="H506">
            <v>30250195</v>
          </cell>
          <cell r="O506" t="str">
            <v>0403</v>
          </cell>
          <cell r="U506" t="str">
            <v>56311001</v>
          </cell>
          <cell r="W506" t="str">
            <v>DN</v>
          </cell>
        </row>
        <row r="507">
          <cell r="H507">
            <v>692209375</v>
          </cell>
          <cell r="O507" t="str">
            <v>0403</v>
          </cell>
          <cell r="U507" t="str">
            <v>56311001</v>
          </cell>
          <cell r="W507" t="str">
            <v>DN</v>
          </cell>
        </row>
        <row r="508">
          <cell r="H508">
            <v>561726784</v>
          </cell>
          <cell r="O508" t="str">
            <v>0403</v>
          </cell>
          <cell r="U508" t="str">
            <v>56311001</v>
          </cell>
          <cell r="W508" t="str">
            <v>DN</v>
          </cell>
        </row>
        <row r="509">
          <cell r="H509">
            <v>2163415180</v>
          </cell>
          <cell r="O509" t="str">
            <v>0403</v>
          </cell>
          <cell r="U509" t="str">
            <v>56311001</v>
          </cell>
          <cell r="W509" t="str">
            <v>DN</v>
          </cell>
        </row>
        <row r="510">
          <cell r="H510">
            <v>144350579</v>
          </cell>
          <cell r="O510" t="str">
            <v>0403</v>
          </cell>
          <cell r="U510" t="str">
            <v>56311001</v>
          </cell>
          <cell r="W510" t="str">
            <v>DN</v>
          </cell>
        </row>
        <row r="511">
          <cell r="H511">
            <v>140397369</v>
          </cell>
          <cell r="O511" t="str">
            <v>0401</v>
          </cell>
          <cell r="U511" t="str">
            <v>01311005</v>
          </cell>
          <cell r="W511" t="str">
            <v>DN</v>
          </cell>
        </row>
        <row r="512">
          <cell r="H512">
            <v>103743281</v>
          </cell>
          <cell r="O512" t="str">
            <v>0401</v>
          </cell>
          <cell r="U512" t="str">
            <v>01311005</v>
          </cell>
          <cell r="W512" t="str">
            <v>DN</v>
          </cell>
        </row>
        <row r="513">
          <cell r="H513">
            <v>700000000</v>
          </cell>
          <cell r="O513" t="str">
            <v>0401</v>
          </cell>
          <cell r="U513" t="str">
            <v>51311001</v>
          </cell>
          <cell r="W513" t="str">
            <v>CN</v>
          </cell>
        </row>
        <row r="514">
          <cell r="H514">
            <v>285148000</v>
          </cell>
          <cell r="O514" t="str">
            <v>0402</v>
          </cell>
          <cell r="U514" t="str">
            <v>01311014</v>
          </cell>
          <cell r="W514" t="str">
            <v>CN</v>
          </cell>
        </row>
        <row r="515">
          <cell r="H515">
            <v>109660000</v>
          </cell>
          <cell r="O515" t="str">
            <v>0402</v>
          </cell>
          <cell r="U515" t="str">
            <v>01311014</v>
          </cell>
          <cell r="W515" t="str">
            <v>CN</v>
          </cell>
        </row>
        <row r="516">
          <cell r="H516">
            <v>120056000</v>
          </cell>
          <cell r="O516" t="str">
            <v>0402</v>
          </cell>
          <cell r="U516" t="str">
            <v>01311014</v>
          </cell>
          <cell r="W516" t="str">
            <v>CN</v>
          </cell>
        </row>
        <row r="517">
          <cell r="H517">
            <v>82000000000</v>
          </cell>
          <cell r="O517" t="str">
            <v>0202</v>
          </cell>
          <cell r="U517" t="str">
            <v>79311005</v>
          </cell>
          <cell r="W517" t="str">
            <v>DN</v>
          </cell>
        </row>
        <row r="518">
          <cell r="H518">
            <v>100746000</v>
          </cell>
          <cell r="O518" t="str">
            <v>0402</v>
          </cell>
          <cell r="U518" t="str">
            <v>01311014</v>
          </cell>
          <cell r="W518" t="str">
            <v>CN</v>
          </cell>
        </row>
        <row r="519">
          <cell r="H519">
            <v>122583000</v>
          </cell>
          <cell r="O519" t="str">
            <v>0402</v>
          </cell>
          <cell r="U519" t="str">
            <v>01311014</v>
          </cell>
          <cell r="W519" t="str">
            <v>CN</v>
          </cell>
        </row>
        <row r="520">
          <cell r="H520">
            <v>122164000</v>
          </cell>
          <cell r="O520" t="str">
            <v>0402</v>
          </cell>
          <cell r="U520" t="str">
            <v>01311014</v>
          </cell>
          <cell r="W520" t="str">
            <v>CN</v>
          </cell>
        </row>
        <row r="521">
          <cell r="H521">
            <v>390557000</v>
          </cell>
          <cell r="O521" t="str">
            <v>0702</v>
          </cell>
          <cell r="U521" t="str">
            <v>01311014</v>
          </cell>
          <cell r="W521" t="str">
            <v>DN</v>
          </cell>
        </row>
        <row r="522">
          <cell r="H522">
            <v>420600000</v>
          </cell>
          <cell r="O522" t="str">
            <v>0401</v>
          </cell>
          <cell r="U522" t="str">
            <v>49311001</v>
          </cell>
          <cell r="W522" t="str">
            <v>DN</v>
          </cell>
        </row>
        <row r="523">
          <cell r="H523">
            <v>290621300</v>
          </cell>
          <cell r="O523" t="str">
            <v>0401</v>
          </cell>
          <cell r="U523" t="str">
            <v>49311001</v>
          </cell>
          <cell r="W523" t="str">
            <v>DN</v>
          </cell>
        </row>
        <row r="524">
          <cell r="H524">
            <v>709480244</v>
          </cell>
          <cell r="O524" t="str">
            <v>0202</v>
          </cell>
          <cell r="U524" t="str">
            <v>01311002</v>
          </cell>
          <cell r="W524" t="str">
            <v>DN</v>
          </cell>
        </row>
        <row r="525">
          <cell r="H525">
            <v>601652586</v>
          </cell>
          <cell r="O525" t="str">
            <v>0202</v>
          </cell>
          <cell r="U525" t="str">
            <v>01311002</v>
          </cell>
          <cell r="W525" t="str">
            <v>DN</v>
          </cell>
        </row>
        <row r="526">
          <cell r="H526">
            <v>1690051384</v>
          </cell>
          <cell r="O526" t="str">
            <v>0202</v>
          </cell>
          <cell r="U526" t="str">
            <v>01311002</v>
          </cell>
          <cell r="W526" t="str">
            <v>DN</v>
          </cell>
        </row>
        <row r="527">
          <cell r="H527">
            <v>399700000</v>
          </cell>
          <cell r="O527" t="str">
            <v>0401</v>
          </cell>
          <cell r="U527" t="str">
            <v>49311001</v>
          </cell>
          <cell r="W527" t="str">
            <v>DN</v>
          </cell>
        </row>
        <row r="528">
          <cell r="H528">
            <v>127637000</v>
          </cell>
          <cell r="O528" t="str">
            <v>0401</v>
          </cell>
          <cell r="U528" t="str">
            <v>38311001</v>
          </cell>
          <cell r="W528" t="str">
            <v>DN</v>
          </cell>
        </row>
        <row r="529">
          <cell r="H529">
            <v>1520468111</v>
          </cell>
          <cell r="O529" t="str">
            <v>0401</v>
          </cell>
          <cell r="U529" t="str">
            <v>01311013</v>
          </cell>
          <cell r="W529" t="str">
            <v>DN</v>
          </cell>
        </row>
        <row r="530">
          <cell r="H530">
            <v>1984170933</v>
          </cell>
          <cell r="O530" t="str">
            <v>0401</v>
          </cell>
          <cell r="U530" t="str">
            <v>01311013</v>
          </cell>
          <cell r="W530" t="str">
            <v>DN</v>
          </cell>
        </row>
        <row r="531">
          <cell r="H531">
            <v>145758800</v>
          </cell>
          <cell r="O531" t="str">
            <v>0402</v>
          </cell>
          <cell r="U531" t="str">
            <v>31311002</v>
          </cell>
          <cell r="W531" t="str">
            <v>DN</v>
          </cell>
        </row>
        <row r="532">
          <cell r="H532">
            <v>800000000</v>
          </cell>
          <cell r="O532" t="str">
            <v>0202</v>
          </cell>
          <cell r="U532" t="str">
            <v>27311001</v>
          </cell>
          <cell r="W532" t="str">
            <v>CN</v>
          </cell>
        </row>
        <row r="533">
          <cell r="H533">
            <v>500000000</v>
          </cell>
          <cell r="O533" t="str">
            <v>0402</v>
          </cell>
          <cell r="U533" t="str">
            <v>01311005</v>
          </cell>
          <cell r="W533" t="str">
            <v>DN</v>
          </cell>
        </row>
        <row r="534">
          <cell r="H534">
            <v>296505000</v>
          </cell>
          <cell r="O534" t="str">
            <v>0402</v>
          </cell>
          <cell r="U534" t="str">
            <v>31311002</v>
          </cell>
          <cell r="W534" t="str">
            <v>DN</v>
          </cell>
        </row>
        <row r="535">
          <cell r="H535">
            <v>276865749</v>
          </cell>
          <cell r="O535" t="str">
            <v>0401</v>
          </cell>
          <cell r="U535" t="str">
            <v>01311013</v>
          </cell>
          <cell r="W535" t="str">
            <v>DN</v>
          </cell>
        </row>
        <row r="536">
          <cell r="H536">
            <v>8472000000</v>
          </cell>
          <cell r="O536" t="str">
            <v>0401</v>
          </cell>
          <cell r="U536" t="str">
            <v>01311006</v>
          </cell>
          <cell r="W536" t="str">
            <v>DN</v>
          </cell>
        </row>
        <row r="537">
          <cell r="H537">
            <v>18321660000</v>
          </cell>
          <cell r="O537" t="str">
            <v>0202</v>
          </cell>
          <cell r="U537" t="str">
            <v>92311001</v>
          </cell>
          <cell r="W537" t="str">
            <v>DN</v>
          </cell>
        </row>
        <row r="538">
          <cell r="H538">
            <v>15492060000</v>
          </cell>
          <cell r="O538" t="str">
            <v>0202</v>
          </cell>
          <cell r="U538" t="str">
            <v>92311001</v>
          </cell>
          <cell r="W538" t="str">
            <v>DN</v>
          </cell>
        </row>
        <row r="539">
          <cell r="H539">
            <v>11483460000</v>
          </cell>
          <cell r="O539" t="str">
            <v>0202</v>
          </cell>
          <cell r="U539" t="str">
            <v>92311001</v>
          </cell>
          <cell r="W539" t="str">
            <v>DN</v>
          </cell>
        </row>
        <row r="540">
          <cell r="H540">
            <v>7522020000</v>
          </cell>
          <cell r="O540" t="str">
            <v>0202</v>
          </cell>
          <cell r="U540" t="str">
            <v>92311001</v>
          </cell>
          <cell r="W540" t="str">
            <v>DN</v>
          </cell>
        </row>
        <row r="541">
          <cell r="H541">
            <v>17708580000</v>
          </cell>
          <cell r="O541" t="str">
            <v>0202</v>
          </cell>
          <cell r="U541" t="str">
            <v>92311001</v>
          </cell>
          <cell r="W541" t="str">
            <v>DN</v>
          </cell>
        </row>
        <row r="542">
          <cell r="H542">
            <v>18651780000</v>
          </cell>
          <cell r="O542" t="str">
            <v>0202</v>
          </cell>
          <cell r="U542" t="str">
            <v>92311001</v>
          </cell>
          <cell r="W542" t="str">
            <v>DN</v>
          </cell>
        </row>
        <row r="543">
          <cell r="H543">
            <v>5564880000</v>
          </cell>
          <cell r="O543" t="str">
            <v>0202</v>
          </cell>
          <cell r="U543" t="str">
            <v>92311001</v>
          </cell>
          <cell r="W543" t="str">
            <v>DN</v>
          </cell>
        </row>
        <row r="544">
          <cell r="H544">
            <v>1541568000</v>
          </cell>
          <cell r="O544" t="str">
            <v>0402</v>
          </cell>
          <cell r="U544" t="str">
            <v>01311011</v>
          </cell>
          <cell r="W544" t="str">
            <v>DN</v>
          </cell>
        </row>
        <row r="545">
          <cell r="H545">
            <v>994559992</v>
          </cell>
          <cell r="O545" t="str">
            <v>0402</v>
          </cell>
          <cell r="U545" t="str">
            <v>01311011</v>
          </cell>
          <cell r="W545" t="str">
            <v>DN</v>
          </cell>
        </row>
        <row r="546">
          <cell r="H546">
            <v>1897919988</v>
          </cell>
          <cell r="O546" t="str">
            <v>0402</v>
          </cell>
          <cell r="U546" t="str">
            <v>01311011</v>
          </cell>
          <cell r="W546" t="str">
            <v>DN</v>
          </cell>
        </row>
        <row r="547">
          <cell r="H547">
            <v>2970240000</v>
          </cell>
          <cell r="O547" t="str">
            <v>0402</v>
          </cell>
          <cell r="U547" t="str">
            <v>01311011</v>
          </cell>
          <cell r="W547" t="str">
            <v>DN</v>
          </cell>
        </row>
        <row r="548">
          <cell r="H548">
            <v>656071096</v>
          </cell>
          <cell r="O548" t="str">
            <v>0402</v>
          </cell>
          <cell r="U548" t="str">
            <v>01311011</v>
          </cell>
          <cell r="W548" t="str">
            <v>DN</v>
          </cell>
        </row>
        <row r="549">
          <cell r="H549">
            <v>2274600000</v>
          </cell>
          <cell r="O549" t="str">
            <v>0402</v>
          </cell>
          <cell r="U549" t="str">
            <v>01311011</v>
          </cell>
          <cell r="W549" t="str">
            <v>DN</v>
          </cell>
        </row>
        <row r="550">
          <cell r="H550">
            <v>57500000</v>
          </cell>
          <cell r="O550" t="str">
            <v>0401</v>
          </cell>
          <cell r="U550" t="str">
            <v>79311007</v>
          </cell>
          <cell r="W550" t="str">
            <v>CN</v>
          </cell>
        </row>
        <row r="551">
          <cell r="H551">
            <v>55000000</v>
          </cell>
          <cell r="O551" t="str">
            <v>0402</v>
          </cell>
          <cell r="U551" t="str">
            <v>79311007</v>
          </cell>
          <cell r="W551" t="str">
            <v>CN</v>
          </cell>
        </row>
        <row r="552">
          <cell r="H552">
            <v>200000000</v>
          </cell>
          <cell r="O552" t="str">
            <v>0202</v>
          </cell>
          <cell r="U552" t="str">
            <v>19311001</v>
          </cell>
          <cell r="W552" t="str">
            <v>CN</v>
          </cell>
        </row>
        <row r="553">
          <cell r="H553">
            <v>422123029</v>
          </cell>
          <cell r="O553" t="str">
            <v>0202</v>
          </cell>
          <cell r="U553" t="str">
            <v>01311013</v>
          </cell>
          <cell r="W553" t="str">
            <v>DN</v>
          </cell>
        </row>
        <row r="554">
          <cell r="H554">
            <v>898546790</v>
          </cell>
          <cell r="O554" t="str">
            <v>0401</v>
          </cell>
          <cell r="U554" t="str">
            <v>01311013</v>
          </cell>
          <cell r="W554" t="str">
            <v>DN</v>
          </cell>
        </row>
        <row r="555">
          <cell r="H555">
            <v>1655290298</v>
          </cell>
          <cell r="O555" t="str">
            <v>0401</v>
          </cell>
          <cell r="U555" t="str">
            <v>01311013</v>
          </cell>
          <cell r="W555" t="str">
            <v>DN</v>
          </cell>
        </row>
        <row r="556">
          <cell r="H556">
            <v>100000000</v>
          </cell>
          <cell r="O556" t="str">
            <v>0401</v>
          </cell>
          <cell r="U556" t="str">
            <v>89311001</v>
          </cell>
          <cell r="W556" t="str">
            <v>CN</v>
          </cell>
        </row>
        <row r="557">
          <cell r="H557">
            <v>430000000</v>
          </cell>
          <cell r="O557" t="str">
            <v>0402</v>
          </cell>
          <cell r="U557" t="str">
            <v>01311005</v>
          </cell>
          <cell r="W557" t="str">
            <v>DN</v>
          </cell>
        </row>
        <row r="558">
          <cell r="H558">
            <v>308000000</v>
          </cell>
          <cell r="O558" t="str">
            <v>0402</v>
          </cell>
          <cell r="U558" t="str">
            <v>01311005</v>
          </cell>
          <cell r="W558" t="str">
            <v>DN</v>
          </cell>
        </row>
        <row r="559">
          <cell r="H559">
            <v>500000000</v>
          </cell>
          <cell r="O559" t="str">
            <v>0202</v>
          </cell>
          <cell r="U559" t="str">
            <v>79311001</v>
          </cell>
          <cell r="W559" t="str">
            <v>CN</v>
          </cell>
        </row>
        <row r="560">
          <cell r="H560">
            <v>200000000</v>
          </cell>
          <cell r="O560" t="str">
            <v>0202</v>
          </cell>
          <cell r="U560" t="str">
            <v>79311001</v>
          </cell>
          <cell r="W560" t="str">
            <v>CN</v>
          </cell>
        </row>
        <row r="561">
          <cell r="H561">
            <v>60000000</v>
          </cell>
          <cell r="O561" t="str">
            <v>0101</v>
          </cell>
          <cell r="U561" t="str">
            <v>89311001</v>
          </cell>
          <cell r="W561" t="str">
            <v>CN</v>
          </cell>
        </row>
        <row r="562">
          <cell r="H562">
            <v>230000000</v>
          </cell>
          <cell r="O562" t="str">
            <v>0402</v>
          </cell>
          <cell r="U562" t="str">
            <v>01311005</v>
          </cell>
          <cell r="W562" t="str">
            <v>DN</v>
          </cell>
        </row>
        <row r="563">
          <cell r="H563">
            <v>150000000</v>
          </cell>
          <cell r="O563" t="str">
            <v>0401</v>
          </cell>
          <cell r="U563" t="str">
            <v>89311001</v>
          </cell>
          <cell r="W563" t="str">
            <v>CN</v>
          </cell>
        </row>
        <row r="564">
          <cell r="H564">
            <v>139000000</v>
          </cell>
          <cell r="O564" t="str">
            <v>0401</v>
          </cell>
          <cell r="U564" t="str">
            <v>51311001</v>
          </cell>
          <cell r="W564" t="str">
            <v>CN</v>
          </cell>
        </row>
        <row r="565">
          <cell r="H565">
            <v>420312664</v>
          </cell>
          <cell r="O565" t="str">
            <v>0202</v>
          </cell>
          <cell r="U565" t="str">
            <v>01311035</v>
          </cell>
          <cell r="W565" t="str">
            <v>DN</v>
          </cell>
        </row>
        <row r="566">
          <cell r="H566">
            <v>6062650000</v>
          </cell>
          <cell r="O566" t="str">
            <v>0202</v>
          </cell>
          <cell r="U566" t="str">
            <v>01311035</v>
          </cell>
          <cell r="W566" t="str">
            <v>DN</v>
          </cell>
        </row>
        <row r="567">
          <cell r="H567">
            <v>2557640960</v>
          </cell>
          <cell r="O567" t="str">
            <v>0202</v>
          </cell>
          <cell r="U567" t="str">
            <v>01311035</v>
          </cell>
          <cell r="W567" t="str">
            <v>DN</v>
          </cell>
        </row>
        <row r="568">
          <cell r="H568">
            <v>454000000</v>
          </cell>
          <cell r="O568" t="str">
            <v>0401</v>
          </cell>
          <cell r="U568" t="str">
            <v>22311001</v>
          </cell>
          <cell r="W568" t="str">
            <v>DN</v>
          </cell>
        </row>
        <row r="569">
          <cell r="H569">
            <v>200000000</v>
          </cell>
          <cell r="O569" t="str">
            <v>0202</v>
          </cell>
          <cell r="U569" t="str">
            <v>01311014</v>
          </cell>
          <cell r="W569" t="str">
            <v>CN</v>
          </cell>
        </row>
        <row r="570">
          <cell r="H570">
            <v>7781400000</v>
          </cell>
          <cell r="O570" t="str">
            <v>0202</v>
          </cell>
          <cell r="U570" t="str">
            <v>92311001</v>
          </cell>
          <cell r="W570" t="str">
            <v>DN</v>
          </cell>
        </row>
        <row r="571">
          <cell r="H571">
            <v>2000000000</v>
          </cell>
          <cell r="O571" t="str">
            <v>0401</v>
          </cell>
          <cell r="U571" t="str">
            <v>30311001</v>
          </cell>
          <cell r="W571" t="str">
            <v>DN</v>
          </cell>
        </row>
        <row r="572">
          <cell r="H572">
            <v>2500000000</v>
          </cell>
          <cell r="O572" t="str">
            <v>0401</v>
          </cell>
          <cell r="U572" t="str">
            <v>30311001</v>
          </cell>
          <cell r="W572" t="str">
            <v>DN</v>
          </cell>
        </row>
        <row r="573">
          <cell r="H573">
            <v>600000000</v>
          </cell>
          <cell r="O573" t="str">
            <v>0401</v>
          </cell>
          <cell r="U573" t="str">
            <v>01311036</v>
          </cell>
          <cell r="W573" t="str">
            <v>DN</v>
          </cell>
        </row>
        <row r="574">
          <cell r="H574">
            <v>1100000000</v>
          </cell>
          <cell r="O574" t="str">
            <v>0401</v>
          </cell>
          <cell r="U574" t="str">
            <v>01311036</v>
          </cell>
          <cell r="W574" t="str">
            <v>DN</v>
          </cell>
        </row>
        <row r="575">
          <cell r="H575">
            <v>500000000</v>
          </cell>
          <cell r="O575" t="str">
            <v>0401</v>
          </cell>
          <cell r="U575" t="str">
            <v>75311003</v>
          </cell>
          <cell r="W575" t="str">
            <v>CN</v>
          </cell>
        </row>
        <row r="576">
          <cell r="H576">
            <v>20396700000</v>
          </cell>
          <cell r="O576" t="str">
            <v>0202</v>
          </cell>
          <cell r="U576" t="str">
            <v>92311001</v>
          </cell>
          <cell r="W576" t="str">
            <v>DN</v>
          </cell>
        </row>
        <row r="577">
          <cell r="H577">
            <v>7781400000</v>
          </cell>
          <cell r="O577" t="str">
            <v>0202</v>
          </cell>
          <cell r="U577" t="str">
            <v>92311001</v>
          </cell>
          <cell r="W577" t="str">
            <v>DN</v>
          </cell>
        </row>
        <row r="578">
          <cell r="H578">
            <v>19029060000</v>
          </cell>
          <cell r="O578" t="str">
            <v>0202</v>
          </cell>
          <cell r="U578" t="str">
            <v>92311001</v>
          </cell>
          <cell r="W578" t="str">
            <v>DN</v>
          </cell>
        </row>
        <row r="579">
          <cell r="H579">
            <v>718371786</v>
          </cell>
          <cell r="O579" t="str">
            <v>0401</v>
          </cell>
          <cell r="U579" t="str">
            <v>75311003</v>
          </cell>
          <cell r="W579" t="str">
            <v>DN</v>
          </cell>
        </row>
        <row r="580">
          <cell r="H580">
            <v>528709299</v>
          </cell>
          <cell r="O580" t="str">
            <v>0401</v>
          </cell>
          <cell r="U580" t="str">
            <v>75311003</v>
          </cell>
          <cell r="W580" t="str">
            <v>DN</v>
          </cell>
        </row>
        <row r="581">
          <cell r="H581">
            <v>1054855418</v>
          </cell>
          <cell r="O581" t="str">
            <v>0401</v>
          </cell>
          <cell r="U581" t="str">
            <v>75311003</v>
          </cell>
          <cell r="W581" t="str">
            <v>DN</v>
          </cell>
        </row>
        <row r="582">
          <cell r="H582">
            <v>325792275</v>
          </cell>
          <cell r="O582" t="str">
            <v>0401</v>
          </cell>
          <cell r="U582" t="str">
            <v>75311003</v>
          </cell>
          <cell r="W582" t="str">
            <v>DN</v>
          </cell>
        </row>
        <row r="583">
          <cell r="H583">
            <v>923962408</v>
          </cell>
          <cell r="O583" t="str">
            <v>0401</v>
          </cell>
          <cell r="U583" t="str">
            <v>75311003</v>
          </cell>
          <cell r="W583" t="str">
            <v>DN</v>
          </cell>
        </row>
        <row r="584">
          <cell r="H584">
            <v>400000000</v>
          </cell>
          <cell r="O584" t="str">
            <v>0202</v>
          </cell>
          <cell r="U584" t="str">
            <v>38311001</v>
          </cell>
          <cell r="W584" t="str">
            <v>CN</v>
          </cell>
        </row>
        <row r="585">
          <cell r="H585">
            <v>366600000</v>
          </cell>
          <cell r="O585" t="str">
            <v>0402</v>
          </cell>
          <cell r="U585" t="str">
            <v>46311001</v>
          </cell>
          <cell r="W585" t="str">
            <v>CN</v>
          </cell>
        </row>
        <row r="586">
          <cell r="H586">
            <v>203700000</v>
          </cell>
          <cell r="O586" t="str">
            <v>0402</v>
          </cell>
          <cell r="U586" t="str">
            <v>01311005</v>
          </cell>
          <cell r="W586" t="str">
            <v>DN</v>
          </cell>
        </row>
        <row r="587">
          <cell r="H587">
            <v>590000000</v>
          </cell>
          <cell r="O587" t="str">
            <v>0402</v>
          </cell>
          <cell r="U587" t="str">
            <v>01311005</v>
          </cell>
          <cell r="W587" t="str">
            <v>DN</v>
          </cell>
        </row>
        <row r="588">
          <cell r="H588">
            <v>625576100</v>
          </cell>
          <cell r="O588" t="str">
            <v>0402</v>
          </cell>
          <cell r="U588" t="str">
            <v>01311005</v>
          </cell>
          <cell r="W588" t="str">
            <v>DN</v>
          </cell>
        </row>
        <row r="589">
          <cell r="H589">
            <v>200000000</v>
          </cell>
          <cell r="O589" t="str">
            <v>0804</v>
          </cell>
          <cell r="U589" t="str">
            <v>79311020</v>
          </cell>
          <cell r="W589" t="str">
            <v>CN</v>
          </cell>
        </row>
        <row r="590">
          <cell r="H590">
            <v>1494187900</v>
          </cell>
          <cell r="O590" t="str">
            <v>0202</v>
          </cell>
          <cell r="U590" t="str">
            <v>01311005</v>
          </cell>
          <cell r="W590" t="str">
            <v>DN</v>
          </cell>
        </row>
        <row r="591">
          <cell r="H591">
            <v>493841910</v>
          </cell>
          <cell r="O591" t="str">
            <v>0202</v>
          </cell>
          <cell r="U591" t="str">
            <v>01311005</v>
          </cell>
          <cell r="W591" t="str">
            <v>DN</v>
          </cell>
        </row>
        <row r="592">
          <cell r="H592">
            <v>1753261020</v>
          </cell>
          <cell r="O592" t="str">
            <v>0202</v>
          </cell>
          <cell r="U592" t="str">
            <v>01311005</v>
          </cell>
          <cell r="W592" t="str">
            <v>DN</v>
          </cell>
        </row>
        <row r="593">
          <cell r="H593">
            <v>1273466000</v>
          </cell>
          <cell r="O593" t="str">
            <v>0202</v>
          </cell>
          <cell r="U593" t="str">
            <v>01311005</v>
          </cell>
          <cell r="W593" t="str">
            <v>DN</v>
          </cell>
        </row>
        <row r="594">
          <cell r="H594">
            <v>563269220</v>
          </cell>
          <cell r="O594" t="str">
            <v>0202</v>
          </cell>
          <cell r="U594" t="str">
            <v>01311005</v>
          </cell>
          <cell r="W594" t="str">
            <v>DN</v>
          </cell>
        </row>
        <row r="595">
          <cell r="H595">
            <v>2020153300</v>
          </cell>
          <cell r="O595" t="str">
            <v>0202</v>
          </cell>
          <cell r="U595" t="str">
            <v>01311005</v>
          </cell>
          <cell r="W595" t="str">
            <v>DN</v>
          </cell>
        </row>
        <row r="596">
          <cell r="H596">
            <v>400215200</v>
          </cell>
          <cell r="O596" t="str">
            <v>0202</v>
          </cell>
          <cell r="U596" t="str">
            <v>01311005</v>
          </cell>
          <cell r="W596" t="str">
            <v>DN</v>
          </cell>
        </row>
        <row r="597">
          <cell r="H597">
            <v>100000000</v>
          </cell>
          <cell r="O597" t="str">
            <v>0401</v>
          </cell>
          <cell r="U597" t="str">
            <v>51311001</v>
          </cell>
          <cell r="W597" t="str">
            <v>CN</v>
          </cell>
        </row>
        <row r="598">
          <cell r="H598">
            <v>200000000</v>
          </cell>
          <cell r="O598" t="str">
            <v>0202</v>
          </cell>
          <cell r="U598" t="str">
            <v>27311001</v>
          </cell>
          <cell r="W598" t="str">
            <v>CN</v>
          </cell>
        </row>
        <row r="599">
          <cell r="H599">
            <v>500000000</v>
          </cell>
          <cell r="O599" t="str">
            <v>0101</v>
          </cell>
          <cell r="U599" t="str">
            <v>68311002</v>
          </cell>
          <cell r="W599" t="str">
            <v>CN</v>
          </cell>
        </row>
        <row r="600">
          <cell r="H600">
            <v>3500000000</v>
          </cell>
          <cell r="O600" t="str">
            <v>0401</v>
          </cell>
          <cell r="U600" t="str">
            <v>87311001</v>
          </cell>
          <cell r="W600" t="str">
            <v>CN</v>
          </cell>
        </row>
        <row r="601">
          <cell r="H601">
            <v>4776900339</v>
          </cell>
          <cell r="O601" t="str">
            <v>0403</v>
          </cell>
          <cell r="U601" t="str">
            <v>56311001</v>
          </cell>
          <cell r="W601" t="str">
            <v>DN</v>
          </cell>
        </row>
        <row r="602">
          <cell r="H602">
            <v>3780000000</v>
          </cell>
          <cell r="O602" t="str">
            <v>0401</v>
          </cell>
          <cell r="U602" t="str">
            <v>79311022</v>
          </cell>
          <cell r="W602" t="str">
            <v>DN</v>
          </cell>
        </row>
        <row r="603">
          <cell r="H603">
            <v>480000000</v>
          </cell>
          <cell r="O603" t="str">
            <v>0202</v>
          </cell>
          <cell r="U603" t="str">
            <v>38311001</v>
          </cell>
          <cell r="W603" t="str">
            <v>CN</v>
          </cell>
        </row>
        <row r="604">
          <cell r="H604">
            <v>8000000000</v>
          </cell>
          <cell r="O604" t="str">
            <v>0101</v>
          </cell>
          <cell r="U604" t="str">
            <v>64311001</v>
          </cell>
          <cell r="W604" t="str">
            <v>DN</v>
          </cell>
        </row>
        <row r="605">
          <cell r="H605">
            <v>13700000000</v>
          </cell>
          <cell r="O605" t="str">
            <v>0101</v>
          </cell>
          <cell r="U605" t="str">
            <v>64311001</v>
          </cell>
          <cell r="W605" t="str">
            <v>DN</v>
          </cell>
        </row>
        <row r="606">
          <cell r="H606">
            <v>8000000000</v>
          </cell>
          <cell r="O606" t="str">
            <v>0101</v>
          </cell>
          <cell r="U606" t="str">
            <v>64311001</v>
          </cell>
          <cell r="W606" t="str">
            <v>DN</v>
          </cell>
        </row>
        <row r="607">
          <cell r="H607">
            <v>70000000</v>
          </cell>
          <cell r="O607" t="str">
            <v>0401</v>
          </cell>
          <cell r="U607" t="str">
            <v>25311001</v>
          </cell>
          <cell r="W607" t="str">
            <v>CN</v>
          </cell>
        </row>
        <row r="608">
          <cell r="H608">
            <v>373057616</v>
          </cell>
          <cell r="O608" t="str">
            <v>0401</v>
          </cell>
          <cell r="U608" t="str">
            <v>01311006</v>
          </cell>
          <cell r="W608" t="str">
            <v>DN</v>
          </cell>
        </row>
        <row r="609">
          <cell r="H609">
            <v>580379857</v>
          </cell>
          <cell r="O609" t="str">
            <v>0401</v>
          </cell>
          <cell r="U609" t="str">
            <v>01311006</v>
          </cell>
          <cell r="W609" t="str">
            <v>DN</v>
          </cell>
        </row>
        <row r="610">
          <cell r="H610">
            <v>98186220</v>
          </cell>
          <cell r="O610" t="str">
            <v>0401</v>
          </cell>
          <cell r="U610" t="str">
            <v>01311006</v>
          </cell>
          <cell r="W610" t="str">
            <v>DN</v>
          </cell>
        </row>
        <row r="611">
          <cell r="H611">
            <v>2216228716</v>
          </cell>
          <cell r="O611" t="str">
            <v>0401</v>
          </cell>
          <cell r="U611" t="str">
            <v>01311006</v>
          </cell>
          <cell r="W611" t="str">
            <v>DN</v>
          </cell>
        </row>
        <row r="612">
          <cell r="H612">
            <v>999421500</v>
          </cell>
          <cell r="O612" t="str">
            <v>0401</v>
          </cell>
          <cell r="U612" t="str">
            <v>01311006</v>
          </cell>
          <cell r="W612" t="str">
            <v>DN</v>
          </cell>
        </row>
        <row r="613">
          <cell r="H613">
            <v>7569121475</v>
          </cell>
          <cell r="O613" t="str">
            <v>0401</v>
          </cell>
          <cell r="U613" t="str">
            <v>01311006</v>
          </cell>
          <cell r="W613" t="str">
            <v>DN</v>
          </cell>
        </row>
        <row r="614">
          <cell r="H614">
            <v>1135778878</v>
          </cell>
          <cell r="O614" t="str">
            <v>0401</v>
          </cell>
          <cell r="U614" t="str">
            <v>01311006</v>
          </cell>
          <cell r="W614" t="str">
            <v>DN</v>
          </cell>
        </row>
        <row r="615">
          <cell r="H615">
            <v>280896000</v>
          </cell>
          <cell r="O615" t="str">
            <v>0401</v>
          </cell>
          <cell r="U615" t="str">
            <v>01311006</v>
          </cell>
          <cell r="W615" t="str">
            <v>DN</v>
          </cell>
        </row>
        <row r="616">
          <cell r="H616">
            <v>1230365016</v>
          </cell>
          <cell r="O616" t="str">
            <v>0401</v>
          </cell>
          <cell r="U616" t="str">
            <v>01311006</v>
          </cell>
          <cell r="W616" t="str">
            <v>DN</v>
          </cell>
        </row>
        <row r="617">
          <cell r="H617">
            <v>175198100</v>
          </cell>
          <cell r="O617" t="str">
            <v>0401</v>
          </cell>
          <cell r="U617" t="str">
            <v>01311006</v>
          </cell>
          <cell r="W617" t="str">
            <v>DN</v>
          </cell>
        </row>
        <row r="618">
          <cell r="H618">
            <v>1765445750</v>
          </cell>
          <cell r="O618" t="str">
            <v>0401</v>
          </cell>
          <cell r="U618" t="str">
            <v>01311006</v>
          </cell>
          <cell r="W618" t="str">
            <v>DN</v>
          </cell>
        </row>
        <row r="619">
          <cell r="H619">
            <v>2019118263</v>
          </cell>
          <cell r="O619" t="str">
            <v>0401</v>
          </cell>
          <cell r="U619" t="str">
            <v>01311006</v>
          </cell>
          <cell r="W619" t="str">
            <v>DN</v>
          </cell>
        </row>
        <row r="620">
          <cell r="H620">
            <v>102630000</v>
          </cell>
          <cell r="O620" t="str">
            <v>0401</v>
          </cell>
          <cell r="U620" t="str">
            <v>01311006</v>
          </cell>
          <cell r="W620" t="str">
            <v>DN</v>
          </cell>
        </row>
        <row r="621">
          <cell r="H621">
            <v>860860000</v>
          </cell>
          <cell r="O621" t="str">
            <v>0401</v>
          </cell>
          <cell r="U621" t="str">
            <v>01311006</v>
          </cell>
          <cell r="W621" t="str">
            <v>DN</v>
          </cell>
        </row>
        <row r="622">
          <cell r="H622">
            <v>153876800</v>
          </cell>
          <cell r="O622" t="str">
            <v>0401</v>
          </cell>
          <cell r="U622" t="str">
            <v>01311006</v>
          </cell>
          <cell r="W622" t="str">
            <v>DN</v>
          </cell>
        </row>
        <row r="623">
          <cell r="H623">
            <v>275000000</v>
          </cell>
          <cell r="O623" t="str">
            <v>0401</v>
          </cell>
          <cell r="U623" t="str">
            <v>01311006</v>
          </cell>
          <cell r="W623" t="str">
            <v>DN</v>
          </cell>
        </row>
        <row r="624">
          <cell r="H624">
            <v>170500000</v>
          </cell>
          <cell r="O624" t="str">
            <v>0401</v>
          </cell>
          <cell r="U624" t="str">
            <v>01311006</v>
          </cell>
          <cell r="W624" t="str">
            <v>DN</v>
          </cell>
        </row>
        <row r="625">
          <cell r="H625">
            <v>204710000</v>
          </cell>
          <cell r="O625" t="str">
            <v>0401</v>
          </cell>
          <cell r="U625" t="str">
            <v>01311006</v>
          </cell>
          <cell r="W625" t="str">
            <v>DN</v>
          </cell>
        </row>
        <row r="626">
          <cell r="H626">
            <v>154287980</v>
          </cell>
          <cell r="O626" t="str">
            <v>0401</v>
          </cell>
          <cell r="U626" t="str">
            <v>01311006</v>
          </cell>
          <cell r="W626" t="str">
            <v>DN</v>
          </cell>
        </row>
        <row r="627">
          <cell r="H627">
            <v>7548789923</v>
          </cell>
          <cell r="O627" t="str">
            <v>0401</v>
          </cell>
          <cell r="U627" t="str">
            <v>01311006</v>
          </cell>
          <cell r="W627" t="str">
            <v>DN</v>
          </cell>
        </row>
        <row r="628">
          <cell r="H628">
            <v>128353005</v>
          </cell>
          <cell r="O628" t="str">
            <v>0401</v>
          </cell>
          <cell r="U628" t="str">
            <v>01311006</v>
          </cell>
          <cell r="W628" t="str">
            <v>DN</v>
          </cell>
        </row>
        <row r="629">
          <cell r="H629">
            <v>291920763</v>
          </cell>
          <cell r="O629" t="str">
            <v>0401</v>
          </cell>
          <cell r="U629" t="str">
            <v>01311006</v>
          </cell>
          <cell r="W629" t="str">
            <v>DN</v>
          </cell>
        </row>
        <row r="630">
          <cell r="H630">
            <v>2227912822</v>
          </cell>
          <cell r="O630" t="str">
            <v>0401</v>
          </cell>
          <cell r="U630" t="str">
            <v>01311006</v>
          </cell>
          <cell r="W630" t="str">
            <v>DN</v>
          </cell>
        </row>
        <row r="631">
          <cell r="H631">
            <v>148889686</v>
          </cell>
          <cell r="O631" t="str">
            <v>0401</v>
          </cell>
          <cell r="U631" t="str">
            <v>01311006</v>
          </cell>
          <cell r="W631" t="str">
            <v>DN</v>
          </cell>
        </row>
        <row r="632">
          <cell r="H632">
            <v>871067603</v>
          </cell>
          <cell r="O632" t="str">
            <v>0401</v>
          </cell>
          <cell r="U632" t="str">
            <v>01311006</v>
          </cell>
          <cell r="W632" t="str">
            <v>DN</v>
          </cell>
        </row>
        <row r="633">
          <cell r="H633">
            <v>289347948</v>
          </cell>
          <cell r="O633" t="str">
            <v>0401</v>
          </cell>
          <cell r="U633" t="str">
            <v>01311006</v>
          </cell>
          <cell r="W633" t="str">
            <v>DN</v>
          </cell>
        </row>
        <row r="634">
          <cell r="H634">
            <v>97570000</v>
          </cell>
          <cell r="O634" t="str">
            <v>0401</v>
          </cell>
          <cell r="U634" t="str">
            <v>01311006</v>
          </cell>
          <cell r="W634" t="str">
            <v>DN</v>
          </cell>
        </row>
        <row r="635">
          <cell r="H635">
            <v>528009397</v>
          </cell>
          <cell r="O635" t="str">
            <v>0401</v>
          </cell>
          <cell r="U635" t="str">
            <v>01311006</v>
          </cell>
          <cell r="W635" t="str">
            <v>DN</v>
          </cell>
        </row>
        <row r="636">
          <cell r="H636">
            <v>213897840</v>
          </cell>
          <cell r="O636" t="str">
            <v>0401</v>
          </cell>
          <cell r="U636" t="str">
            <v>01311006</v>
          </cell>
          <cell r="W636" t="str">
            <v>DN</v>
          </cell>
        </row>
        <row r="637">
          <cell r="H637">
            <v>342877500</v>
          </cell>
          <cell r="O637" t="str">
            <v>0401</v>
          </cell>
          <cell r="U637" t="str">
            <v>01311006</v>
          </cell>
          <cell r="W637" t="str">
            <v>DN</v>
          </cell>
        </row>
        <row r="638">
          <cell r="H638">
            <v>132716145</v>
          </cell>
          <cell r="O638" t="str">
            <v>0401</v>
          </cell>
          <cell r="U638" t="str">
            <v>01311006</v>
          </cell>
          <cell r="W638" t="str">
            <v>DN</v>
          </cell>
        </row>
        <row r="639">
          <cell r="H639">
            <v>500000000</v>
          </cell>
          <cell r="O639" t="str">
            <v>0401</v>
          </cell>
          <cell r="U639" t="str">
            <v>37311001</v>
          </cell>
          <cell r="W639" t="str">
            <v>CN</v>
          </cell>
        </row>
        <row r="640">
          <cell r="H640">
            <v>432378892</v>
          </cell>
          <cell r="O640" t="str">
            <v>0401</v>
          </cell>
          <cell r="U640" t="str">
            <v>01311006</v>
          </cell>
          <cell r="W640" t="str">
            <v>DN</v>
          </cell>
        </row>
        <row r="641">
          <cell r="H641">
            <v>4427426736</v>
          </cell>
          <cell r="O641" t="str">
            <v>0401</v>
          </cell>
          <cell r="U641" t="str">
            <v>01311007</v>
          </cell>
          <cell r="W641" t="str">
            <v>DN</v>
          </cell>
        </row>
        <row r="642">
          <cell r="H642">
            <v>4059136995</v>
          </cell>
          <cell r="O642" t="str">
            <v>0401</v>
          </cell>
          <cell r="U642" t="str">
            <v>01311007</v>
          </cell>
          <cell r="W642" t="str">
            <v>DN</v>
          </cell>
        </row>
        <row r="643">
          <cell r="H643">
            <v>3633503508</v>
          </cell>
          <cell r="O643" t="str">
            <v>0401</v>
          </cell>
          <cell r="U643" t="str">
            <v>79311002</v>
          </cell>
          <cell r="W643" t="str">
            <v>DN</v>
          </cell>
        </row>
        <row r="644">
          <cell r="H644">
            <v>7741590358</v>
          </cell>
          <cell r="O644" t="str">
            <v>0401</v>
          </cell>
          <cell r="U644" t="str">
            <v>79311002</v>
          </cell>
          <cell r="W644" t="str">
            <v>DN</v>
          </cell>
        </row>
        <row r="645">
          <cell r="H645">
            <v>100000000</v>
          </cell>
          <cell r="O645" t="str">
            <v>0401</v>
          </cell>
          <cell r="U645" t="str">
            <v>22311001</v>
          </cell>
          <cell r="W645" t="str">
            <v>CN</v>
          </cell>
        </row>
        <row r="646">
          <cell r="H646">
            <v>50000000</v>
          </cell>
          <cell r="O646" t="str">
            <v>0401</v>
          </cell>
          <cell r="U646" t="str">
            <v>22311001</v>
          </cell>
          <cell r="W646" t="str">
            <v>CN</v>
          </cell>
        </row>
        <row r="647">
          <cell r="H647">
            <v>150000000</v>
          </cell>
          <cell r="O647" t="str">
            <v>0401</v>
          </cell>
          <cell r="U647" t="str">
            <v>22311001</v>
          </cell>
          <cell r="W647" t="str">
            <v>CN</v>
          </cell>
        </row>
        <row r="648">
          <cell r="H648">
            <v>100000000</v>
          </cell>
          <cell r="O648" t="str">
            <v>0401</v>
          </cell>
          <cell r="U648" t="str">
            <v>22311001</v>
          </cell>
          <cell r="W648" t="str">
            <v>CN</v>
          </cell>
        </row>
        <row r="649">
          <cell r="H649">
            <v>1700000000</v>
          </cell>
          <cell r="O649" t="str">
            <v>0401</v>
          </cell>
          <cell r="U649" t="str">
            <v>46311001</v>
          </cell>
          <cell r="W649" t="str">
            <v>CN</v>
          </cell>
        </row>
        <row r="650">
          <cell r="H650">
            <v>5300920911</v>
          </cell>
          <cell r="O650" t="str">
            <v>0401</v>
          </cell>
          <cell r="U650" t="str">
            <v>01311006</v>
          </cell>
          <cell r="W650" t="str">
            <v>DN</v>
          </cell>
        </row>
        <row r="651">
          <cell r="H651">
            <v>300000000</v>
          </cell>
          <cell r="O651" t="str">
            <v>0401</v>
          </cell>
          <cell r="U651" t="str">
            <v>48311001</v>
          </cell>
          <cell r="W651" t="str">
            <v>DN</v>
          </cell>
        </row>
        <row r="652">
          <cell r="H652">
            <v>11509893180</v>
          </cell>
          <cell r="O652" t="str">
            <v>0202</v>
          </cell>
          <cell r="U652" t="str">
            <v>79311018</v>
          </cell>
          <cell r="W652" t="str">
            <v>DN</v>
          </cell>
        </row>
        <row r="653">
          <cell r="H653">
            <v>6471677196</v>
          </cell>
          <cell r="O653" t="str">
            <v>0202</v>
          </cell>
          <cell r="U653" t="str">
            <v>79311018</v>
          </cell>
          <cell r="W653" t="str">
            <v>DN</v>
          </cell>
        </row>
        <row r="654">
          <cell r="H654">
            <v>9821447280</v>
          </cell>
          <cell r="O654" t="str">
            <v>0202</v>
          </cell>
          <cell r="U654" t="str">
            <v>79311018</v>
          </cell>
          <cell r="W654" t="str">
            <v>DN</v>
          </cell>
        </row>
        <row r="655">
          <cell r="H655">
            <v>527000000</v>
          </cell>
          <cell r="O655" t="str">
            <v>0202</v>
          </cell>
          <cell r="U655" t="str">
            <v>37311001</v>
          </cell>
          <cell r="W655" t="str">
            <v>DN</v>
          </cell>
        </row>
        <row r="656">
          <cell r="H656">
            <v>85000000</v>
          </cell>
          <cell r="O656" t="str">
            <v>0401</v>
          </cell>
          <cell r="U656" t="str">
            <v>37311001</v>
          </cell>
          <cell r="W656" t="str">
            <v>DN</v>
          </cell>
        </row>
        <row r="657">
          <cell r="H657">
            <v>700000000</v>
          </cell>
          <cell r="O657" t="str">
            <v>0401</v>
          </cell>
          <cell r="U657" t="str">
            <v>89311001</v>
          </cell>
          <cell r="W657" t="str">
            <v>CN</v>
          </cell>
        </row>
        <row r="658">
          <cell r="H658">
            <v>109000000</v>
          </cell>
          <cell r="O658" t="str">
            <v>0401</v>
          </cell>
          <cell r="U658" t="str">
            <v>19311001</v>
          </cell>
          <cell r="W658" t="str">
            <v>DN</v>
          </cell>
        </row>
        <row r="659">
          <cell r="H659">
            <v>235000000</v>
          </cell>
          <cell r="O659" t="str">
            <v>0401</v>
          </cell>
          <cell r="U659" t="str">
            <v>19311001</v>
          </cell>
          <cell r="W659" t="str">
            <v>DN</v>
          </cell>
        </row>
        <row r="660">
          <cell r="H660">
            <v>362800000</v>
          </cell>
          <cell r="O660" t="str">
            <v>0401</v>
          </cell>
          <cell r="U660" t="str">
            <v>19311001</v>
          </cell>
          <cell r="W660" t="str">
            <v>DN</v>
          </cell>
        </row>
        <row r="661">
          <cell r="H661">
            <v>29166000</v>
          </cell>
          <cell r="O661" t="str">
            <v>0402</v>
          </cell>
          <cell r="U661" t="str">
            <v>89311001</v>
          </cell>
          <cell r="W661" t="str">
            <v>CN</v>
          </cell>
        </row>
        <row r="662">
          <cell r="H662">
            <v>41667000</v>
          </cell>
          <cell r="O662" t="str">
            <v>0402</v>
          </cell>
          <cell r="U662" t="str">
            <v>89311001</v>
          </cell>
          <cell r="W662" t="str">
            <v>CN</v>
          </cell>
        </row>
        <row r="663">
          <cell r="H663">
            <v>41620839</v>
          </cell>
          <cell r="O663" t="str">
            <v>0402</v>
          </cell>
          <cell r="U663" t="str">
            <v>89311001</v>
          </cell>
          <cell r="W663" t="str">
            <v>CN</v>
          </cell>
        </row>
        <row r="664">
          <cell r="H664">
            <v>737000000</v>
          </cell>
          <cell r="O664" t="str">
            <v>0401</v>
          </cell>
          <cell r="U664" t="str">
            <v>30311001</v>
          </cell>
          <cell r="W664" t="str">
            <v>DN</v>
          </cell>
        </row>
        <row r="665">
          <cell r="H665">
            <v>1489542000</v>
          </cell>
          <cell r="O665" t="str">
            <v>0401</v>
          </cell>
          <cell r="U665" t="str">
            <v>30311001</v>
          </cell>
          <cell r="W665" t="str">
            <v>DN</v>
          </cell>
        </row>
        <row r="666">
          <cell r="H666">
            <v>981000000</v>
          </cell>
          <cell r="O666" t="str">
            <v>0401</v>
          </cell>
          <cell r="U666" t="str">
            <v>30311001</v>
          </cell>
          <cell r="W666" t="str">
            <v>DN</v>
          </cell>
        </row>
        <row r="667">
          <cell r="H667">
            <v>541310159</v>
          </cell>
          <cell r="O667" t="str">
            <v>0202</v>
          </cell>
          <cell r="U667" t="str">
            <v>79311005</v>
          </cell>
          <cell r="W667" t="str">
            <v>DN</v>
          </cell>
        </row>
        <row r="668">
          <cell r="H668">
            <v>752923632</v>
          </cell>
          <cell r="O668" t="str">
            <v>0202</v>
          </cell>
          <cell r="U668" t="str">
            <v>79311005</v>
          </cell>
          <cell r="W668" t="str">
            <v>DN</v>
          </cell>
        </row>
        <row r="669">
          <cell r="H669">
            <v>1012493880</v>
          </cell>
          <cell r="O669" t="str">
            <v>0202</v>
          </cell>
          <cell r="U669" t="str">
            <v>79311005</v>
          </cell>
          <cell r="W669" t="str">
            <v>DN</v>
          </cell>
        </row>
        <row r="670">
          <cell r="H670">
            <v>533823650</v>
          </cell>
          <cell r="O670" t="str">
            <v>0202</v>
          </cell>
          <cell r="U670" t="str">
            <v>79311005</v>
          </cell>
          <cell r="W670" t="str">
            <v>DN</v>
          </cell>
        </row>
        <row r="671">
          <cell r="H671">
            <v>814450000</v>
          </cell>
          <cell r="O671" t="str">
            <v>0202</v>
          </cell>
          <cell r="U671" t="str">
            <v>79311005</v>
          </cell>
          <cell r="W671" t="str">
            <v>DN</v>
          </cell>
        </row>
        <row r="672">
          <cell r="H672">
            <v>1001371355</v>
          </cell>
          <cell r="O672" t="str">
            <v>0202</v>
          </cell>
          <cell r="U672" t="str">
            <v>79311005</v>
          </cell>
          <cell r="W672" t="str">
            <v>DN</v>
          </cell>
        </row>
        <row r="673">
          <cell r="H673">
            <v>349000000</v>
          </cell>
          <cell r="O673" t="str">
            <v>0202</v>
          </cell>
          <cell r="U673" t="str">
            <v>79311005</v>
          </cell>
          <cell r="W673" t="str">
            <v>DN</v>
          </cell>
        </row>
        <row r="674">
          <cell r="H674">
            <v>1596150133</v>
          </cell>
          <cell r="O674" t="str">
            <v>0202</v>
          </cell>
          <cell r="U674" t="str">
            <v>79311005</v>
          </cell>
          <cell r="W674" t="str">
            <v>DN</v>
          </cell>
        </row>
        <row r="675">
          <cell r="H675">
            <v>1225401914</v>
          </cell>
          <cell r="O675" t="str">
            <v>0202</v>
          </cell>
          <cell r="U675" t="str">
            <v>79311005</v>
          </cell>
          <cell r="W675" t="str">
            <v>DN</v>
          </cell>
        </row>
        <row r="676">
          <cell r="H676">
            <v>1461368031</v>
          </cell>
          <cell r="O676" t="str">
            <v>0202</v>
          </cell>
          <cell r="U676" t="str">
            <v>79311005</v>
          </cell>
          <cell r="W676" t="str">
            <v>DN</v>
          </cell>
        </row>
        <row r="677">
          <cell r="H677">
            <v>280216000</v>
          </cell>
          <cell r="O677" t="str">
            <v>0202</v>
          </cell>
          <cell r="U677" t="str">
            <v>79311005</v>
          </cell>
          <cell r="W677" t="str">
            <v>DN</v>
          </cell>
        </row>
        <row r="678">
          <cell r="H678">
            <v>635312440</v>
          </cell>
          <cell r="O678" t="str">
            <v>0202</v>
          </cell>
          <cell r="U678" t="str">
            <v>79311005</v>
          </cell>
          <cell r="W678" t="str">
            <v>DN</v>
          </cell>
        </row>
        <row r="679">
          <cell r="H679">
            <v>987028240</v>
          </cell>
          <cell r="O679" t="str">
            <v>0202</v>
          </cell>
          <cell r="U679" t="str">
            <v>79311005</v>
          </cell>
          <cell r="W679" t="str">
            <v>DN</v>
          </cell>
        </row>
        <row r="680">
          <cell r="H680">
            <v>745440960</v>
          </cell>
          <cell r="O680" t="str">
            <v>0202</v>
          </cell>
          <cell r="U680" t="str">
            <v>79311005</v>
          </cell>
          <cell r="W680" t="str">
            <v>DN</v>
          </cell>
        </row>
        <row r="681">
          <cell r="H681">
            <v>400000000</v>
          </cell>
          <cell r="O681" t="str">
            <v>0202</v>
          </cell>
          <cell r="U681" t="str">
            <v>38311001</v>
          </cell>
          <cell r="W681" t="str">
            <v>CN</v>
          </cell>
        </row>
        <row r="682">
          <cell r="H682">
            <v>1400000000</v>
          </cell>
          <cell r="O682" t="str">
            <v>0401</v>
          </cell>
          <cell r="U682" t="str">
            <v>89311001</v>
          </cell>
          <cell r="W682" t="str">
            <v>CN</v>
          </cell>
        </row>
        <row r="683">
          <cell r="H683">
            <v>81937487</v>
          </cell>
          <cell r="O683" t="str">
            <v>0202</v>
          </cell>
          <cell r="U683" t="str">
            <v>74311001</v>
          </cell>
          <cell r="W683" t="str">
            <v>DN</v>
          </cell>
        </row>
        <row r="684">
          <cell r="H684">
            <v>900000000</v>
          </cell>
          <cell r="O684" t="str">
            <v>0401</v>
          </cell>
          <cell r="U684" t="str">
            <v>22311005</v>
          </cell>
          <cell r="W684" t="str">
            <v>DN</v>
          </cell>
        </row>
      </sheetData>
      <sheetData sheetId="2">
        <row r="1">
          <cell r="J1">
            <v>-72932650579.300003</v>
          </cell>
        </row>
        <row r="2">
          <cell r="H2" t="str">
            <v>MA_SBV</v>
          </cell>
          <cell r="J2" t="str">
            <v>QD_PSNO</v>
          </cell>
          <cell r="Q2" t="str">
            <v>MA_NGANH_TT31</v>
          </cell>
          <cell r="U2" t="str">
            <v>MA_PHAN_THEO_KH</v>
          </cell>
        </row>
        <row r="3">
          <cell r="H3" t="str">
            <v>22311001</v>
          </cell>
          <cell r="J3">
            <v>0</v>
          </cell>
          <cell r="Q3" t="str">
            <v>0403</v>
          </cell>
          <cell r="U3" t="str">
            <v>DN</v>
          </cell>
        </row>
        <row r="4">
          <cell r="H4" t="str">
            <v>45311001</v>
          </cell>
          <cell r="J4">
            <v>0</v>
          </cell>
          <cell r="Q4" t="str">
            <v>0401</v>
          </cell>
          <cell r="U4" t="str">
            <v>DN</v>
          </cell>
        </row>
        <row r="5">
          <cell r="H5" t="str">
            <v>24311001</v>
          </cell>
          <cell r="J5">
            <v>0</v>
          </cell>
          <cell r="Q5" t="str">
            <v>0202</v>
          </cell>
          <cell r="U5" t="str">
            <v>DN</v>
          </cell>
        </row>
        <row r="6">
          <cell r="H6" t="str">
            <v>01311036</v>
          </cell>
          <cell r="J6">
            <v>0</v>
          </cell>
          <cell r="Q6" t="str">
            <v>0202</v>
          </cell>
          <cell r="U6" t="str">
            <v>CN</v>
          </cell>
        </row>
        <row r="7">
          <cell r="H7" t="str">
            <v>24311001</v>
          </cell>
          <cell r="J7">
            <v>0</v>
          </cell>
          <cell r="Q7" t="str">
            <v>0202</v>
          </cell>
          <cell r="U7" t="str">
            <v>DN</v>
          </cell>
        </row>
        <row r="8">
          <cell r="H8" t="str">
            <v>75311003</v>
          </cell>
          <cell r="J8">
            <v>0</v>
          </cell>
          <cell r="Q8" t="str">
            <v>0401</v>
          </cell>
          <cell r="U8" t="str">
            <v>DN</v>
          </cell>
        </row>
        <row r="9">
          <cell r="H9" t="str">
            <v>75311003</v>
          </cell>
          <cell r="J9">
            <v>0</v>
          </cell>
          <cell r="Q9" t="str">
            <v>0401</v>
          </cell>
          <cell r="U9" t="str">
            <v>DN</v>
          </cell>
        </row>
        <row r="10">
          <cell r="H10" t="str">
            <v>38311001</v>
          </cell>
          <cell r="J10">
            <v>0</v>
          </cell>
          <cell r="Q10" t="str">
            <v>0202</v>
          </cell>
          <cell r="U10" t="str">
            <v>CN</v>
          </cell>
        </row>
        <row r="11">
          <cell r="H11" t="str">
            <v>22311004</v>
          </cell>
          <cell r="J11">
            <v>0</v>
          </cell>
          <cell r="Q11" t="str">
            <v>0401</v>
          </cell>
          <cell r="U11" t="str">
            <v>DN</v>
          </cell>
        </row>
        <row r="12">
          <cell r="H12" t="str">
            <v>38311001</v>
          </cell>
          <cell r="J12">
            <v>0</v>
          </cell>
          <cell r="Q12" t="str">
            <v>0401</v>
          </cell>
          <cell r="U12" t="str">
            <v>DN</v>
          </cell>
        </row>
        <row r="13">
          <cell r="H13" t="str">
            <v>01311006</v>
          </cell>
          <cell r="J13">
            <v>0</v>
          </cell>
          <cell r="Q13" t="str">
            <v>0401</v>
          </cell>
          <cell r="U13" t="str">
            <v>DN</v>
          </cell>
        </row>
        <row r="14">
          <cell r="H14" t="str">
            <v>01311008</v>
          </cell>
          <cell r="J14">
            <v>0</v>
          </cell>
          <cell r="Q14" t="str">
            <v>0401</v>
          </cell>
          <cell r="U14" t="str">
            <v>DN</v>
          </cell>
        </row>
        <row r="15">
          <cell r="H15" t="str">
            <v>14311001</v>
          </cell>
          <cell r="J15">
            <v>0</v>
          </cell>
          <cell r="Q15" t="str">
            <v>0101</v>
          </cell>
          <cell r="U15" t="str">
            <v>DN</v>
          </cell>
        </row>
        <row r="16">
          <cell r="H16" t="str">
            <v>01311037</v>
          </cell>
          <cell r="J16">
            <v>0</v>
          </cell>
          <cell r="Q16" t="str">
            <v>0401</v>
          </cell>
          <cell r="U16" t="str">
            <v>DN</v>
          </cell>
        </row>
        <row r="17">
          <cell r="H17" t="str">
            <v>79311007</v>
          </cell>
          <cell r="J17">
            <v>0</v>
          </cell>
          <cell r="Q17" t="str">
            <v>0401</v>
          </cell>
          <cell r="U17" t="str">
            <v>DN</v>
          </cell>
        </row>
        <row r="18">
          <cell r="H18" t="str">
            <v>01311035</v>
          </cell>
          <cell r="J18">
            <v>0</v>
          </cell>
          <cell r="Q18" t="str">
            <v>0202</v>
          </cell>
          <cell r="U18" t="str">
            <v>DN</v>
          </cell>
        </row>
        <row r="19">
          <cell r="H19" t="str">
            <v>25311001</v>
          </cell>
          <cell r="J19">
            <v>0</v>
          </cell>
          <cell r="Q19" t="str">
            <v>0806</v>
          </cell>
          <cell r="U19" t="str">
            <v>CN</v>
          </cell>
        </row>
        <row r="20">
          <cell r="H20" t="str">
            <v>52311001</v>
          </cell>
          <cell r="J20">
            <v>0</v>
          </cell>
          <cell r="Q20" t="str">
            <v>0401</v>
          </cell>
          <cell r="U20" t="str">
            <v>DN</v>
          </cell>
        </row>
        <row r="21">
          <cell r="H21" t="str">
            <v>01311014</v>
          </cell>
          <cell r="J21">
            <v>-29999999</v>
          </cell>
          <cell r="Q21" t="str">
            <v>0202</v>
          </cell>
          <cell r="U21" t="str">
            <v>DN</v>
          </cell>
        </row>
        <row r="22">
          <cell r="H22" t="str">
            <v>22311004</v>
          </cell>
          <cell r="J22">
            <v>0</v>
          </cell>
          <cell r="Q22" t="str">
            <v>0401</v>
          </cell>
          <cell r="U22" t="str">
            <v>CN</v>
          </cell>
        </row>
        <row r="23">
          <cell r="H23" t="str">
            <v>01311003</v>
          </cell>
          <cell r="J23">
            <v>0</v>
          </cell>
          <cell r="Q23" t="str">
            <v>0202</v>
          </cell>
          <cell r="U23" t="str">
            <v>DN</v>
          </cell>
        </row>
        <row r="24">
          <cell r="H24" t="str">
            <v>79311005</v>
          </cell>
          <cell r="J24">
            <v>0</v>
          </cell>
          <cell r="Q24" t="str">
            <v>0702</v>
          </cell>
          <cell r="U24" t="str">
            <v>DN</v>
          </cell>
        </row>
        <row r="25">
          <cell r="H25" t="str">
            <v>77311001</v>
          </cell>
          <cell r="J25">
            <v>0</v>
          </cell>
          <cell r="Q25" t="str">
            <v>0401</v>
          </cell>
          <cell r="U25" t="str">
            <v>DN</v>
          </cell>
        </row>
        <row r="26">
          <cell r="H26" t="str">
            <v>01311035</v>
          </cell>
          <cell r="J26">
            <v>0</v>
          </cell>
          <cell r="Q26" t="str">
            <v>0401</v>
          </cell>
          <cell r="U26" t="str">
            <v>DN</v>
          </cell>
        </row>
        <row r="27">
          <cell r="H27" t="str">
            <v>24311001</v>
          </cell>
          <cell r="J27">
            <v>0</v>
          </cell>
          <cell r="Q27" t="str">
            <v>0202</v>
          </cell>
          <cell r="U27" t="str">
            <v>DN</v>
          </cell>
        </row>
        <row r="28">
          <cell r="H28" t="str">
            <v>01311008</v>
          </cell>
          <cell r="J28">
            <v>0</v>
          </cell>
          <cell r="Q28" t="str">
            <v>0401</v>
          </cell>
          <cell r="U28" t="str">
            <v>KHAC</v>
          </cell>
        </row>
        <row r="29">
          <cell r="H29" t="str">
            <v>75311003</v>
          </cell>
          <cell r="J29">
            <v>0</v>
          </cell>
          <cell r="Q29" t="str">
            <v>0101</v>
          </cell>
          <cell r="U29" t="str">
            <v>CN</v>
          </cell>
        </row>
        <row r="30">
          <cell r="H30" t="str">
            <v>01311002</v>
          </cell>
          <cell r="J30">
            <v>0</v>
          </cell>
          <cell r="Q30" t="str">
            <v>0402</v>
          </cell>
          <cell r="U30" t="str">
            <v>DN</v>
          </cell>
        </row>
        <row r="31">
          <cell r="H31" t="str">
            <v>49311001</v>
          </cell>
          <cell r="J31">
            <v>0</v>
          </cell>
          <cell r="Q31" t="str">
            <v>0402</v>
          </cell>
          <cell r="U31" t="str">
            <v>CN</v>
          </cell>
        </row>
        <row r="32">
          <cell r="H32" t="str">
            <v>42311001</v>
          </cell>
          <cell r="J32">
            <v>0</v>
          </cell>
          <cell r="Q32" t="str">
            <v>0802</v>
          </cell>
          <cell r="U32" t="str">
            <v>DN</v>
          </cell>
        </row>
        <row r="33">
          <cell r="H33" t="str">
            <v>01311008</v>
          </cell>
          <cell r="J33">
            <v>0</v>
          </cell>
          <cell r="Q33" t="str">
            <v>0401</v>
          </cell>
          <cell r="U33" t="str">
            <v>CN</v>
          </cell>
        </row>
        <row r="34">
          <cell r="H34" t="str">
            <v>42311001</v>
          </cell>
          <cell r="J34">
            <v>0</v>
          </cell>
          <cell r="Q34" t="str">
            <v>0802</v>
          </cell>
          <cell r="U34" t="str">
            <v>DN</v>
          </cell>
        </row>
        <row r="35">
          <cell r="H35" t="str">
            <v>25311001</v>
          </cell>
          <cell r="J35">
            <v>0</v>
          </cell>
          <cell r="Q35" t="str">
            <v>0804</v>
          </cell>
          <cell r="U35" t="str">
            <v>CN</v>
          </cell>
        </row>
        <row r="36">
          <cell r="H36" t="str">
            <v>19311001</v>
          </cell>
          <cell r="J36">
            <v>0</v>
          </cell>
          <cell r="Q36" t="str">
            <v>0401</v>
          </cell>
          <cell r="U36" t="str">
            <v>DN</v>
          </cell>
        </row>
        <row r="37">
          <cell r="H37" t="str">
            <v>79311005</v>
          </cell>
          <cell r="J37">
            <v>0</v>
          </cell>
          <cell r="Q37" t="str">
            <v>0101</v>
          </cell>
          <cell r="U37" t="str">
            <v>DN</v>
          </cell>
        </row>
        <row r="38">
          <cell r="H38" t="str">
            <v>79311006</v>
          </cell>
          <cell r="J38">
            <v>0</v>
          </cell>
          <cell r="Q38" t="str">
            <v>0403</v>
          </cell>
          <cell r="U38" t="str">
            <v>DN</v>
          </cell>
        </row>
        <row r="39">
          <cell r="H39" t="str">
            <v>14311001</v>
          </cell>
          <cell r="J39">
            <v>0</v>
          </cell>
          <cell r="Q39" t="str">
            <v>0202</v>
          </cell>
          <cell r="U39" t="str">
            <v>DN</v>
          </cell>
        </row>
        <row r="40">
          <cell r="H40" t="str">
            <v>25311001</v>
          </cell>
          <cell r="J40">
            <v>0</v>
          </cell>
          <cell r="Q40" t="str">
            <v>0202</v>
          </cell>
          <cell r="U40" t="str">
            <v>DN</v>
          </cell>
        </row>
        <row r="41">
          <cell r="H41" t="str">
            <v>79311006</v>
          </cell>
          <cell r="J41">
            <v>0</v>
          </cell>
          <cell r="Q41" t="str">
            <v>0401</v>
          </cell>
          <cell r="U41" t="str">
            <v>DN</v>
          </cell>
        </row>
        <row r="42">
          <cell r="H42" t="str">
            <v>24311001</v>
          </cell>
          <cell r="J42">
            <v>0</v>
          </cell>
          <cell r="Q42" t="str">
            <v>0202</v>
          </cell>
          <cell r="U42" t="str">
            <v>DN</v>
          </cell>
        </row>
        <row r="43">
          <cell r="H43" t="str">
            <v>79311002</v>
          </cell>
          <cell r="J43">
            <v>0</v>
          </cell>
          <cell r="Q43" t="str">
            <v>0702</v>
          </cell>
          <cell r="U43" t="str">
            <v>DN</v>
          </cell>
        </row>
        <row r="44">
          <cell r="H44" t="str">
            <v>79311002</v>
          </cell>
          <cell r="J44">
            <v>0</v>
          </cell>
          <cell r="Q44" t="str">
            <v>0202</v>
          </cell>
          <cell r="U44" t="str">
            <v>DN</v>
          </cell>
        </row>
        <row r="45">
          <cell r="H45" t="str">
            <v>01311002</v>
          </cell>
          <cell r="J45">
            <v>0</v>
          </cell>
          <cell r="Q45" t="str">
            <v>0401</v>
          </cell>
          <cell r="U45" t="str">
            <v>DN</v>
          </cell>
        </row>
        <row r="46">
          <cell r="H46" t="str">
            <v>79311001</v>
          </cell>
          <cell r="J46">
            <v>0</v>
          </cell>
          <cell r="Q46" t="str">
            <v>0401</v>
          </cell>
          <cell r="U46" t="str">
            <v>CN</v>
          </cell>
        </row>
        <row r="47">
          <cell r="H47" t="str">
            <v>01311004</v>
          </cell>
          <cell r="J47">
            <v>0</v>
          </cell>
          <cell r="Q47" t="str">
            <v>0401</v>
          </cell>
          <cell r="U47" t="str">
            <v>DN</v>
          </cell>
        </row>
        <row r="48">
          <cell r="H48" t="str">
            <v>96311001</v>
          </cell>
          <cell r="J48">
            <v>0</v>
          </cell>
          <cell r="Q48" t="str">
            <v>0401</v>
          </cell>
          <cell r="U48" t="str">
            <v>CN</v>
          </cell>
        </row>
        <row r="49">
          <cell r="H49" t="str">
            <v>35311001</v>
          </cell>
          <cell r="J49">
            <v>0</v>
          </cell>
          <cell r="Q49" t="str">
            <v>0202</v>
          </cell>
          <cell r="U49" t="str">
            <v>CN</v>
          </cell>
        </row>
        <row r="50">
          <cell r="H50" t="str">
            <v>01311034</v>
          </cell>
          <cell r="J50">
            <v>0</v>
          </cell>
          <cell r="Q50" t="str">
            <v>0702</v>
          </cell>
          <cell r="U50" t="str">
            <v>DN</v>
          </cell>
        </row>
        <row r="51">
          <cell r="H51" t="str">
            <v>35311001</v>
          </cell>
          <cell r="J51">
            <v>0</v>
          </cell>
          <cell r="Q51" t="str">
            <v>0401</v>
          </cell>
          <cell r="U51" t="str">
            <v>CN</v>
          </cell>
        </row>
        <row r="52">
          <cell r="H52" t="str">
            <v>68311001</v>
          </cell>
          <cell r="J52">
            <v>0</v>
          </cell>
          <cell r="Q52" t="str">
            <v>0401</v>
          </cell>
          <cell r="U52" t="str">
            <v>CN</v>
          </cell>
        </row>
        <row r="53">
          <cell r="H53" t="str">
            <v>44311001</v>
          </cell>
          <cell r="J53">
            <v>0</v>
          </cell>
          <cell r="Q53" t="str">
            <v>0802</v>
          </cell>
          <cell r="U53" t="str">
            <v>CN</v>
          </cell>
        </row>
        <row r="54">
          <cell r="H54" t="str">
            <v>89311001</v>
          </cell>
          <cell r="J54">
            <v>0</v>
          </cell>
          <cell r="Q54" t="str">
            <v>0101</v>
          </cell>
          <cell r="U54" t="str">
            <v>CN</v>
          </cell>
        </row>
        <row r="55">
          <cell r="H55" t="str">
            <v>56311001</v>
          </cell>
          <cell r="J55">
            <v>0</v>
          </cell>
          <cell r="Q55" t="str">
            <v>0401</v>
          </cell>
          <cell r="U55" t="str">
            <v>DN</v>
          </cell>
        </row>
        <row r="56">
          <cell r="H56" t="str">
            <v>68311001</v>
          </cell>
          <cell r="J56">
            <v>0</v>
          </cell>
          <cell r="Q56" t="str">
            <v>0401</v>
          </cell>
          <cell r="U56" t="str">
            <v>CN</v>
          </cell>
        </row>
        <row r="57">
          <cell r="H57" t="str">
            <v>01311034</v>
          </cell>
          <cell r="J57">
            <v>0</v>
          </cell>
          <cell r="Q57" t="str">
            <v>0401</v>
          </cell>
          <cell r="U57" t="str">
            <v>CN</v>
          </cell>
        </row>
        <row r="58">
          <cell r="H58" t="str">
            <v>27311001</v>
          </cell>
          <cell r="J58">
            <v>0</v>
          </cell>
          <cell r="Q58" t="str">
            <v>0202</v>
          </cell>
          <cell r="U58" t="str">
            <v>CN</v>
          </cell>
        </row>
        <row r="59">
          <cell r="H59" t="str">
            <v>46311001</v>
          </cell>
          <cell r="J59">
            <v>0</v>
          </cell>
          <cell r="Q59" t="str">
            <v>0401</v>
          </cell>
          <cell r="U59" t="str">
            <v>CN</v>
          </cell>
        </row>
        <row r="60">
          <cell r="H60" t="str">
            <v>01311009</v>
          </cell>
          <cell r="J60">
            <v>0</v>
          </cell>
          <cell r="Q60" t="str">
            <v>0202</v>
          </cell>
          <cell r="U60" t="str">
            <v>DN</v>
          </cell>
        </row>
        <row r="61">
          <cell r="H61" t="str">
            <v>01311004</v>
          </cell>
          <cell r="J61">
            <v>0</v>
          </cell>
          <cell r="Q61" t="str">
            <v>0401</v>
          </cell>
          <cell r="U61" t="str">
            <v>DN</v>
          </cell>
        </row>
        <row r="62">
          <cell r="H62" t="str">
            <v>01311013</v>
          </cell>
          <cell r="J62">
            <v>0</v>
          </cell>
          <cell r="Q62" t="str">
            <v>0202</v>
          </cell>
          <cell r="U62" t="str">
            <v>CN</v>
          </cell>
        </row>
        <row r="63">
          <cell r="H63" t="str">
            <v>01311002</v>
          </cell>
          <cell r="J63">
            <v>0</v>
          </cell>
          <cell r="Q63" t="str">
            <v>0402</v>
          </cell>
          <cell r="U63" t="str">
            <v>DN</v>
          </cell>
        </row>
        <row r="64">
          <cell r="H64" t="str">
            <v>75311003</v>
          </cell>
          <cell r="J64">
            <v>0</v>
          </cell>
          <cell r="Q64" t="str">
            <v>0401</v>
          </cell>
          <cell r="U64" t="str">
            <v>CN</v>
          </cell>
        </row>
        <row r="65">
          <cell r="H65" t="str">
            <v>27311001</v>
          </cell>
          <cell r="J65">
            <v>0</v>
          </cell>
          <cell r="Q65" t="str">
            <v>0202</v>
          </cell>
          <cell r="U65" t="str">
            <v>DN</v>
          </cell>
        </row>
        <row r="66">
          <cell r="H66" t="str">
            <v>27311001</v>
          </cell>
          <cell r="J66">
            <v>0</v>
          </cell>
          <cell r="Q66" t="str">
            <v>0802</v>
          </cell>
          <cell r="U66" t="str">
            <v>CN</v>
          </cell>
        </row>
        <row r="67">
          <cell r="H67" t="str">
            <v>89311001</v>
          </cell>
          <cell r="J67">
            <v>0</v>
          </cell>
          <cell r="Q67" t="str">
            <v>0101</v>
          </cell>
          <cell r="U67" t="str">
            <v>CN</v>
          </cell>
        </row>
        <row r="68">
          <cell r="H68" t="str">
            <v>75311003</v>
          </cell>
          <cell r="J68">
            <v>0</v>
          </cell>
          <cell r="Q68" t="str">
            <v>0401</v>
          </cell>
          <cell r="U68" t="str">
            <v>CN</v>
          </cell>
        </row>
        <row r="69">
          <cell r="H69" t="str">
            <v>89311001</v>
          </cell>
          <cell r="J69">
            <v>0</v>
          </cell>
          <cell r="Q69" t="str">
            <v>0401</v>
          </cell>
          <cell r="U69" t="str">
            <v>CN</v>
          </cell>
        </row>
        <row r="70">
          <cell r="H70" t="str">
            <v>27311001</v>
          </cell>
          <cell r="J70">
            <v>0</v>
          </cell>
          <cell r="Q70" t="str">
            <v>0202</v>
          </cell>
          <cell r="U70" t="str">
            <v>CN</v>
          </cell>
        </row>
        <row r="71">
          <cell r="H71" t="str">
            <v>33311001</v>
          </cell>
          <cell r="J71">
            <v>0</v>
          </cell>
          <cell r="Q71" t="str">
            <v>0202</v>
          </cell>
          <cell r="U71" t="str">
            <v>CN</v>
          </cell>
        </row>
        <row r="72">
          <cell r="H72" t="str">
            <v>31311002</v>
          </cell>
          <cell r="J72">
            <v>0</v>
          </cell>
          <cell r="Q72" t="str">
            <v>0401</v>
          </cell>
          <cell r="U72" t="str">
            <v>CN</v>
          </cell>
        </row>
        <row r="73">
          <cell r="H73" t="str">
            <v>46311001</v>
          </cell>
          <cell r="J73">
            <v>0</v>
          </cell>
          <cell r="Q73" t="str">
            <v>0401</v>
          </cell>
          <cell r="U73" t="str">
            <v>CN</v>
          </cell>
        </row>
        <row r="74">
          <cell r="H74" t="str">
            <v>01311009</v>
          </cell>
          <cell r="J74">
            <v>0</v>
          </cell>
          <cell r="Q74" t="str">
            <v>0202</v>
          </cell>
          <cell r="U74" t="str">
            <v>DN</v>
          </cell>
        </row>
        <row r="75">
          <cell r="H75" t="str">
            <v>34311001</v>
          </cell>
          <cell r="J75">
            <v>0</v>
          </cell>
          <cell r="Q75" t="str">
            <v>0401</v>
          </cell>
          <cell r="U75" t="str">
            <v>DN</v>
          </cell>
        </row>
        <row r="76">
          <cell r="H76" t="str">
            <v>51311001</v>
          </cell>
          <cell r="J76">
            <v>0</v>
          </cell>
          <cell r="Q76" t="str">
            <v>0401</v>
          </cell>
          <cell r="U76" t="str">
            <v>CN</v>
          </cell>
        </row>
        <row r="77">
          <cell r="H77" t="str">
            <v>01311004</v>
          </cell>
          <cell r="J77">
            <v>0</v>
          </cell>
          <cell r="Q77" t="str">
            <v>0401</v>
          </cell>
          <cell r="U77" t="str">
            <v>DN</v>
          </cell>
        </row>
        <row r="78">
          <cell r="H78" t="str">
            <v>31311002</v>
          </cell>
          <cell r="J78">
            <v>0</v>
          </cell>
          <cell r="Q78" t="str">
            <v>0401</v>
          </cell>
          <cell r="U78" t="str">
            <v>CN</v>
          </cell>
        </row>
        <row r="79">
          <cell r="H79" t="str">
            <v>89311001</v>
          </cell>
          <cell r="J79">
            <v>0</v>
          </cell>
          <cell r="Q79" t="str">
            <v>0101</v>
          </cell>
          <cell r="U79" t="str">
            <v>CN</v>
          </cell>
        </row>
        <row r="80">
          <cell r="H80" t="str">
            <v>01311034</v>
          </cell>
          <cell r="J80">
            <v>0</v>
          </cell>
          <cell r="Q80" t="str">
            <v>0702</v>
          </cell>
          <cell r="U80" t="str">
            <v>DN</v>
          </cell>
        </row>
        <row r="81">
          <cell r="H81" t="str">
            <v>01311034</v>
          </cell>
          <cell r="J81">
            <v>0</v>
          </cell>
          <cell r="Q81" t="str">
            <v>0401</v>
          </cell>
          <cell r="U81" t="str">
            <v>DN</v>
          </cell>
        </row>
        <row r="82">
          <cell r="H82" t="str">
            <v>25311001</v>
          </cell>
          <cell r="J82">
            <v>0</v>
          </cell>
          <cell r="Q82" t="str">
            <v>0202</v>
          </cell>
          <cell r="U82" t="str">
            <v>CN</v>
          </cell>
        </row>
        <row r="83">
          <cell r="H83" t="str">
            <v>01311034</v>
          </cell>
          <cell r="J83">
            <v>0</v>
          </cell>
          <cell r="Q83" t="str">
            <v>0401</v>
          </cell>
          <cell r="U83" t="str">
            <v>DN</v>
          </cell>
        </row>
        <row r="84">
          <cell r="H84" t="str">
            <v>25311001</v>
          </cell>
          <cell r="J84">
            <v>0</v>
          </cell>
          <cell r="Q84" t="str">
            <v>0402</v>
          </cell>
          <cell r="U84" t="str">
            <v>CN</v>
          </cell>
        </row>
        <row r="85">
          <cell r="H85" t="str">
            <v>01311002</v>
          </cell>
          <cell r="J85">
            <v>0</v>
          </cell>
          <cell r="Q85" t="str">
            <v>0402</v>
          </cell>
          <cell r="U85" t="str">
            <v>DN</v>
          </cell>
        </row>
        <row r="86">
          <cell r="H86" t="str">
            <v>25311001</v>
          </cell>
          <cell r="J86">
            <v>0</v>
          </cell>
          <cell r="Q86" t="str">
            <v>0402</v>
          </cell>
          <cell r="U86" t="str">
            <v>CN</v>
          </cell>
        </row>
        <row r="87">
          <cell r="H87" t="str">
            <v>49311001</v>
          </cell>
          <cell r="J87">
            <v>0</v>
          </cell>
          <cell r="Q87" t="str">
            <v>0101</v>
          </cell>
          <cell r="U87" t="str">
            <v>CN</v>
          </cell>
        </row>
        <row r="88">
          <cell r="H88" t="str">
            <v>01311002</v>
          </cell>
          <cell r="J88">
            <v>0</v>
          </cell>
          <cell r="Q88" t="str">
            <v>0202</v>
          </cell>
          <cell r="U88" t="str">
            <v>CN</v>
          </cell>
        </row>
        <row r="89">
          <cell r="H89" t="str">
            <v>14311001</v>
          </cell>
          <cell r="J89">
            <v>0</v>
          </cell>
          <cell r="Q89" t="str">
            <v>0401</v>
          </cell>
          <cell r="U89" t="str">
            <v>CN</v>
          </cell>
        </row>
        <row r="90">
          <cell r="H90" t="str">
            <v>25311001</v>
          </cell>
          <cell r="J90">
            <v>0</v>
          </cell>
          <cell r="Q90" t="str">
            <v>0401</v>
          </cell>
          <cell r="U90" t="str">
            <v>DN</v>
          </cell>
        </row>
        <row r="91">
          <cell r="H91" t="str">
            <v>38311001</v>
          </cell>
          <cell r="J91">
            <v>0</v>
          </cell>
          <cell r="Q91" t="str">
            <v>0802</v>
          </cell>
          <cell r="U91" t="str">
            <v>CN</v>
          </cell>
        </row>
        <row r="92">
          <cell r="H92" t="str">
            <v>01311013</v>
          </cell>
          <cell r="J92">
            <v>0</v>
          </cell>
          <cell r="Q92" t="str">
            <v>0401</v>
          </cell>
          <cell r="U92" t="str">
            <v>DN</v>
          </cell>
        </row>
        <row r="93">
          <cell r="H93" t="str">
            <v>37311001</v>
          </cell>
          <cell r="J93">
            <v>0</v>
          </cell>
          <cell r="Q93" t="str">
            <v>0401</v>
          </cell>
          <cell r="U93" t="str">
            <v>CN</v>
          </cell>
        </row>
        <row r="94">
          <cell r="H94" t="str">
            <v>45311001</v>
          </cell>
          <cell r="J94">
            <v>0</v>
          </cell>
          <cell r="Q94" t="str">
            <v>0401</v>
          </cell>
          <cell r="U94" t="str">
            <v>CN</v>
          </cell>
        </row>
        <row r="95">
          <cell r="H95" t="str">
            <v>79311019</v>
          </cell>
          <cell r="J95">
            <v>0</v>
          </cell>
          <cell r="Q95" t="str">
            <v>0402</v>
          </cell>
          <cell r="U95" t="str">
            <v>CN</v>
          </cell>
        </row>
        <row r="96">
          <cell r="H96" t="str">
            <v>79311005</v>
          </cell>
          <cell r="J96">
            <v>0</v>
          </cell>
          <cell r="Q96" t="str">
            <v>0804</v>
          </cell>
          <cell r="U96" t="str">
            <v>CN</v>
          </cell>
        </row>
        <row r="97">
          <cell r="H97" t="str">
            <v>70311001</v>
          </cell>
          <cell r="J97">
            <v>0</v>
          </cell>
          <cell r="Q97" t="str">
            <v>0401</v>
          </cell>
          <cell r="U97" t="str">
            <v>CN</v>
          </cell>
        </row>
        <row r="98">
          <cell r="H98" t="str">
            <v>79311007</v>
          </cell>
          <cell r="J98">
            <v>0</v>
          </cell>
          <cell r="Q98" t="str">
            <v>0202</v>
          </cell>
          <cell r="U98" t="str">
            <v>DN</v>
          </cell>
        </row>
        <row r="99">
          <cell r="H99" t="str">
            <v>70311001</v>
          </cell>
          <cell r="J99">
            <v>0</v>
          </cell>
          <cell r="Q99" t="str">
            <v>0401</v>
          </cell>
          <cell r="U99" t="str">
            <v>DN</v>
          </cell>
        </row>
        <row r="100">
          <cell r="H100" t="str">
            <v>79311001</v>
          </cell>
          <cell r="J100">
            <v>0</v>
          </cell>
          <cell r="Q100" t="str">
            <v>0202</v>
          </cell>
          <cell r="U100" t="str">
            <v>DN</v>
          </cell>
        </row>
        <row r="101">
          <cell r="H101" t="str">
            <v>79311003</v>
          </cell>
          <cell r="J101">
            <v>0</v>
          </cell>
          <cell r="Q101" t="str">
            <v>0202</v>
          </cell>
          <cell r="U101" t="str">
            <v>DN</v>
          </cell>
        </row>
        <row r="102">
          <cell r="H102" t="str">
            <v>48311002</v>
          </cell>
          <cell r="J102">
            <v>0</v>
          </cell>
          <cell r="Q102" t="str">
            <v>0802</v>
          </cell>
          <cell r="U102" t="str">
            <v>CN</v>
          </cell>
        </row>
        <row r="103">
          <cell r="H103" t="str">
            <v>79311001</v>
          </cell>
          <cell r="J103">
            <v>0</v>
          </cell>
          <cell r="Q103" t="str">
            <v>0401</v>
          </cell>
          <cell r="U103" t="str">
            <v>DN</v>
          </cell>
        </row>
        <row r="104">
          <cell r="H104" t="str">
            <v>68311001</v>
          </cell>
          <cell r="J104">
            <v>0</v>
          </cell>
          <cell r="Q104" t="str">
            <v>0401</v>
          </cell>
          <cell r="U104" t="str">
            <v>CN</v>
          </cell>
        </row>
        <row r="105">
          <cell r="H105" t="str">
            <v>26311001</v>
          </cell>
          <cell r="J105">
            <v>0</v>
          </cell>
          <cell r="Q105" t="str">
            <v>0202</v>
          </cell>
          <cell r="U105" t="str">
            <v>CN</v>
          </cell>
        </row>
        <row r="106">
          <cell r="H106" t="str">
            <v>79311002</v>
          </cell>
          <cell r="J106">
            <v>0</v>
          </cell>
          <cell r="Q106" t="str">
            <v>0401</v>
          </cell>
          <cell r="U106" t="str">
            <v>DN</v>
          </cell>
        </row>
        <row r="107">
          <cell r="H107" t="str">
            <v>75311001</v>
          </cell>
          <cell r="J107">
            <v>0</v>
          </cell>
          <cell r="Q107" t="str">
            <v>0401</v>
          </cell>
          <cell r="U107" t="str">
            <v>DN</v>
          </cell>
        </row>
        <row r="108">
          <cell r="H108" t="str">
            <v>79311001</v>
          </cell>
          <cell r="J108">
            <v>0</v>
          </cell>
          <cell r="Q108" t="str">
            <v>0401</v>
          </cell>
          <cell r="U108" t="str">
            <v>DN</v>
          </cell>
        </row>
        <row r="109">
          <cell r="H109" t="str">
            <v>92311001</v>
          </cell>
          <cell r="J109">
            <v>0</v>
          </cell>
          <cell r="Q109" t="str">
            <v>0401</v>
          </cell>
          <cell r="U109" t="str">
            <v>DN</v>
          </cell>
        </row>
        <row r="110">
          <cell r="H110" t="str">
            <v>79311005</v>
          </cell>
          <cell r="J110">
            <v>0</v>
          </cell>
          <cell r="Q110" t="str">
            <v>0804</v>
          </cell>
          <cell r="U110" t="str">
            <v>CN</v>
          </cell>
        </row>
        <row r="111">
          <cell r="H111" t="str">
            <v>01311007</v>
          </cell>
          <cell r="J111">
            <v>0</v>
          </cell>
          <cell r="Q111" t="str">
            <v>0401</v>
          </cell>
          <cell r="U111" t="str">
            <v>DN</v>
          </cell>
        </row>
        <row r="112">
          <cell r="H112" t="str">
            <v>79311007</v>
          </cell>
          <cell r="J112">
            <v>0</v>
          </cell>
          <cell r="Q112" t="str">
            <v>0202</v>
          </cell>
          <cell r="U112" t="str">
            <v>DN</v>
          </cell>
        </row>
        <row r="113">
          <cell r="H113" t="str">
            <v>89311001</v>
          </cell>
          <cell r="J113">
            <v>0</v>
          </cell>
          <cell r="Q113" t="str">
            <v>0401</v>
          </cell>
          <cell r="U113" t="str">
            <v>CN</v>
          </cell>
        </row>
        <row r="114">
          <cell r="H114" t="str">
            <v>66311001</v>
          </cell>
          <cell r="J114">
            <v>0</v>
          </cell>
          <cell r="Q114" t="str">
            <v>0101</v>
          </cell>
          <cell r="U114" t="str">
            <v>CN</v>
          </cell>
        </row>
        <row r="115">
          <cell r="H115" t="str">
            <v>42311001</v>
          </cell>
          <cell r="J115">
            <v>0</v>
          </cell>
          <cell r="Q115" t="str">
            <v>0401</v>
          </cell>
          <cell r="U115" t="str">
            <v>CN</v>
          </cell>
        </row>
        <row r="116">
          <cell r="H116" t="str">
            <v>01311036</v>
          </cell>
          <cell r="J116">
            <v>0</v>
          </cell>
          <cell r="Q116" t="str">
            <v>0202</v>
          </cell>
          <cell r="U116" t="str">
            <v>CN</v>
          </cell>
        </row>
        <row r="117">
          <cell r="H117" t="str">
            <v>25311001</v>
          </cell>
          <cell r="J117">
            <v>0</v>
          </cell>
          <cell r="Q117" t="str">
            <v>0401</v>
          </cell>
          <cell r="U117" t="str">
            <v>DN</v>
          </cell>
        </row>
        <row r="118">
          <cell r="H118" t="str">
            <v>01311004</v>
          </cell>
          <cell r="J118">
            <v>0</v>
          </cell>
          <cell r="Q118" t="str">
            <v>0202</v>
          </cell>
          <cell r="U118" t="str">
            <v>DN</v>
          </cell>
        </row>
        <row r="119">
          <cell r="H119" t="str">
            <v>01311014</v>
          </cell>
          <cell r="J119">
            <v>0</v>
          </cell>
          <cell r="Q119" t="str">
            <v>0202</v>
          </cell>
          <cell r="U119" t="str">
            <v>DN</v>
          </cell>
        </row>
        <row r="120">
          <cell r="H120" t="str">
            <v>01311007</v>
          </cell>
          <cell r="J120">
            <v>0</v>
          </cell>
          <cell r="Q120" t="str">
            <v>0202</v>
          </cell>
          <cell r="U120" t="str">
            <v>DN</v>
          </cell>
        </row>
        <row r="121">
          <cell r="H121" t="str">
            <v>70311001</v>
          </cell>
          <cell r="J121">
            <v>0</v>
          </cell>
          <cell r="Q121" t="str">
            <v>0401</v>
          </cell>
          <cell r="U121" t="str">
            <v>DN</v>
          </cell>
        </row>
        <row r="122">
          <cell r="H122" t="str">
            <v>70311001</v>
          </cell>
          <cell r="J122">
            <v>0</v>
          </cell>
          <cell r="Q122" t="str">
            <v>0401</v>
          </cell>
          <cell r="U122" t="str">
            <v>DN</v>
          </cell>
        </row>
        <row r="123">
          <cell r="H123" t="str">
            <v>01311013</v>
          </cell>
          <cell r="J123">
            <v>0</v>
          </cell>
          <cell r="Q123" t="str">
            <v>0401</v>
          </cell>
          <cell r="U123" t="str">
            <v>DN</v>
          </cell>
        </row>
        <row r="124">
          <cell r="H124" t="str">
            <v>79311001</v>
          </cell>
          <cell r="J124">
            <v>0</v>
          </cell>
          <cell r="Q124" t="str">
            <v>0401</v>
          </cell>
          <cell r="U124" t="str">
            <v>DN</v>
          </cell>
        </row>
        <row r="125">
          <cell r="H125" t="str">
            <v>01311007</v>
          </cell>
          <cell r="J125">
            <v>0</v>
          </cell>
          <cell r="Q125" t="str">
            <v>0202</v>
          </cell>
          <cell r="U125" t="str">
            <v>DN</v>
          </cell>
        </row>
        <row r="126">
          <cell r="H126" t="str">
            <v>31311001</v>
          </cell>
          <cell r="J126">
            <v>0</v>
          </cell>
          <cell r="Q126" t="str">
            <v>0401</v>
          </cell>
          <cell r="U126" t="str">
            <v>CN</v>
          </cell>
        </row>
        <row r="127">
          <cell r="H127" t="str">
            <v>27311001</v>
          </cell>
          <cell r="J127">
            <v>0</v>
          </cell>
          <cell r="Q127" t="str">
            <v>0401</v>
          </cell>
          <cell r="U127" t="str">
            <v>DN</v>
          </cell>
        </row>
        <row r="128">
          <cell r="H128" t="str">
            <v>01311006</v>
          </cell>
          <cell r="J128">
            <v>0</v>
          </cell>
          <cell r="Q128" t="str">
            <v>0202</v>
          </cell>
          <cell r="U128" t="str">
            <v>DN</v>
          </cell>
        </row>
        <row r="129">
          <cell r="H129" t="str">
            <v>01311006</v>
          </cell>
          <cell r="J129">
            <v>0</v>
          </cell>
          <cell r="Q129" t="str">
            <v>0202</v>
          </cell>
          <cell r="U129" t="str">
            <v>DN</v>
          </cell>
        </row>
        <row r="130">
          <cell r="H130" t="str">
            <v>25311001</v>
          </cell>
          <cell r="J130">
            <v>0</v>
          </cell>
          <cell r="Q130" t="str">
            <v>0402</v>
          </cell>
          <cell r="U130" t="str">
            <v>CN</v>
          </cell>
        </row>
        <row r="131">
          <cell r="H131" t="str">
            <v>74311001</v>
          </cell>
          <cell r="J131">
            <v>0</v>
          </cell>
          <cell r="Q131" t="str">
            <v>0202</v>
          </cell>
          <cell r="U131" t="str">
            <v>DN</v>
          </cell>
        </row>
        <row r="132">
          <cell r="H132" t="str">
            <v>25311001</v>
          </cell>
          <cell r="J132">
            <v>0</v>
          </cell>
          <cell r="Q132" t="str">
            <v>0402</v>
          </cell>
          <cell r="U132" t="str">
            <v>CN</v>
          </cell>
        </row>
        <row r="133">
          <cell r="H133" t="str">
            <v>01311006</v>
          </cell>
          <cell r="J133">
            <v>0</v>
          </cell>
          <cell r="Q133" t="str">
            <v>0401</v>
          </cell>
          <cell r="U133" t="str">
            <v>DN</v>
          </cell>
        </row>
        <row r="134">
          <cell r="H134" t="str">
            <v>20311001</v>
          </cell>
          <cell r="J134">
            <v>0</v>
          </cell>
          <cell r="Q134" t="str">
            <v>0401</v>
          </cell>
          <cell r="U134" t="str">
            <v>CN</v>
          </cell>
        </row>
        <row r="135">
          <cell r="H135" t="str">
            <v>74311001</v>
          </cell>
          <cell r="J135">
            <v>0</v>
          </cell>
          <cell r="Q135" t="str">
            <v>0202</v>
          </cell>
          <cell r="U135" t="str">
            <v>DN</v>
          </cell>
        </row>
        <row r="136">
          <cell r="H136" t="str">
            <v>48311002</v>
          </cell>
          <cell r="J136">
            <v>0</v>
          </cell>
          <cell r="Q136" t="str">
            <v>0401</v>
          </cell>
          <cell r="U136" t="str">
            <v>DN</v>
          </cell>
        </row>
        <row r="137">
          <cell r="H137" t="str">
            <v>08311001</v>
          </cell>
          <cell r="J137">
            <v>0</v>
          </cell>
          <cell r="Q137" t="str">
            <v>0402</v>
          </cell>
          <cell r="U137" t="str">
            <v>CN</v>
          </cell>
        </row>
        <row r="138">
          <cell r="H138" t="str">
            <v>01311013</v>
          </cell>
          <cell r="J138">
            <v>0</v>
          </cell>
          <cell r="Q138" t="str">
            <v>0202</v>
          </cell>
          <cell r="U138" t="str">
            <v>DN</v>
          </cell>
        </row>
        <row r="139">
          <cell r="H139" t="str">
            <v>25311001</v>
          </cell>
          <cell r="J139">
            <v>0</v>
          </cell>
          <cell r="Q139" t="str">
            <v>0402</v>
          </cell>
          <cell r="U139" t="str">
            <v>CN</v>
          </cell>
        </row>
        <row r="140">
          <cell r="H140" t="str">
            <v>48311002</v>
          </cell>
          <cell r="J140">
            <v>0</v>
          </cell>
          <cell r="Q140" t="str">
            <v>0401</v>
          </cell>
          <cell r="U140" t="str">
            <v>CN</v>
          </cell>
        </row>
        <row r="141">
          <cell r="H141" t="str">
            <v>56311001</v>
          </cell>
          <cell r="J141">
            <v>0</v>
          </cell>
          <cell r="Q141" t="str">
            <v>0202</v>
          </cell>
          <cell r="U141" t="str">
            <v>DN</v>
          </cell>
        </row>
        <row r="142">
          <cell r="H142" t="str">
            <v>36311001</v>
          </cell>
          <cell r="J142">
            <v>0</v>
          </cell>
          <cell r="Q142" t="str">
            <v>0202</v>
          </cell>
          <cell r="U142" t="str">
            <v>DN</v>
          </cell>
        </row>
        <row r="143">
          <cell r="H143" t="str">
            <v>20311001</v>
          </cell>
          <cell r="J143">
            <v>0</v>
          </cell>
          <cell r="Q143" t="str">
            <v>0401</v>
          </cell>
          <cell r="U143" t="str">
            <v>CN</v>
          </cell>
        </row>
        <row r="144">
          <cell r="H144" t="str">
            <v>96311001</v>
          </cell>
          <cell r="J144">
            <v>0</v>
          </cell>
          <cell r="Q144" t="str">
            <v>0401</v>
          </cell>
          <cell r="U144" t="str">
            <v>CN</v>
          </cell>
        </row>
        <row r="145">
          <cell r="H145" t="str">
            <v>01311010</v>
          </cell>
          <cell r="J145">
            <v>0</v>
          </cell>
          <cell r="Q145" t="str">
            <v>0401</v>
          </cell>
          <cell r="U145" t="str">
            <v>CN</v>
          </cell>
        </row>
        <row r="146">
          <cell r="H146" t="str">
            <v>01311010</v>
          </cell>
          <cell r="J146">
            <v>0</v>
          </cell>
          <cell r="Q146" t="str">
            <v>0802</v>
          </cell>
          <cell r="U146" t="str">
            <v>CN</v>
          </cell>
        </row>
        <row r="147">
          <cell r="H147" t="str">
            <v>91311001</v>
          </cell>
          <cell r="J147">
            <v>0</v>
          </cell>
          <cell r="Q147" t="str">
            <v>0401</v>
          </cell>
          <cell r="U147" t="str">
            <v>CN</v>
          </cell>
        </row>
        <row r="148">
          <cell r="H148" t="str">
            <v>36311001</v>
          </cell>
          <cell r="J148">
            <v>0</v>
          </cell>
          <cell r="Q148" t="str">
            <v>0401</v>
          </cell>
          <cell r="U148" t="str">
            <v>CN</v>
          </cell>
        </row>
        <row r="149">
          <cell r="H149" t="str">
            <v>24311001</v>
          </cell>
          <cell r="J149">
            <v>0</v>
          </cell>
          <cell r="Q149" t="str">
            <v>0202</v>
          </cell>
          <cell r="U149" t="str">
            <v>CN</v>
          </cell>
        </row>
        <row r="150">
          <cell r="H150" t="str">
            <v>79311006</v>
          </cell>
          <cell r="J150">
            <v>0</v>
          </cell>
          <cell r="Q150" t="str">
            <v>0401</v>
          </cell>
          <cell r="U150" t="str">
            <v>DN</v>
          </cell>
        </row>
        <row r="151">
          <cell r="H151" t="str">
            <v>01311036</v>
          </cell>
          <cell r="J151">
            <v>0</v>
          </cell>
          <cell r="Q151" t="str">
            <v>0202</v>
          </cell>
          <cell r="U151" t="str">
            <v>CN</v>
          </cell>
        </row>
        <row r="152">
          <cell r="H152" t="str">
            <v>36311001</v>
          </cell>
          <cell r="J152">
            <v>0</v>
          </cell>
          <cell r="Q152" t="str">
            <v>0202</v>
          </cell>
          <cell r="U152" t="str">
            <v>DN</v>
          </cell>
        </row>
        <row r="153">
          <cell r="H153" t="str">
            <v>36311001</v>
          </cell>
          <cell r="J153">
            <v>0</v>
          </cell>
          <cell r="Q153" t="str">
            <v>0202</v>
          </cell>
          <cell r="U153" t="str">
            <v>CN</v>
          </cell>
        </row>
        <row r="154">
          <cell r="H154" t="str">
            <v>38311001</v>
          </cell>
          <cell r="J154">
            <v>0</v>
          </cell>
          <cell r="Q154" t="str">
            <v>0401</v>
          </cell>
          <cell r="U154" t="str">
            <v>DN</v>
          </cell>
        </row>
        <row r="155">
          <cell r="H155" t="str">
            <v>01311036</v>
          </cell>
          <cell r="J155">
            <v>0</v>
          </cell>
          <cell r="Q155" t="str">
            <v>0202</v>
          </cell>
          <cell r="U155" t="str">
            <v>CN</v>
          </cell>
        </row>
        <row r="156">
          <cell r="H156" t="str">
            <v>01311002</v>
          </cell>
          <cell r="J156">
            <v>0</v>
          </cell>
          <cell r="Q156" t="str">
            <v>0401</v>
          </cell>
          <cell r="U156" t="str">
            <v>CN</v>
          </cell>
        </row>
        <row r="157">
          <cell r="H157" t="str">
            <v>19311001</v>
          </cell>
          <cell r="J157">
            <v>0</v>
          </cell>
          <cell r="Q157" t="str">
            <v>0401</v>
          </cell>
          <cell r="U157" t="str">
            <v>DN</v>
          </cell>
        </row>
        <row r="158">
          <cell r="H158" t="str">
            <v>91311001</v>
          </cell>
          <cell r="J158">
            <v>0</v>
          </cell>
          <cell r="Q158" t="str">
            <v>0401</v>
          </cell>
          <cell r="U158" t="str">
            <v>CN</v>
          </cell>
        </row>
        <row r="159">
          <cell r="H159" t="str">
            <v>70311001</v>
          </cell>
          <cell r="J159">
            <v>0</v>
          </cell>
          <cell r="Q159" t="str">
            <v>0401</v>
          </cell>
          <cell r="U159" t="str">
            <v>DN</v>
          </cell>
        </row>
        <row r="160">
          <cell r="H160" t="str">
            <v>92311001</v>
          </cell>
          <cell r="J160">
            <v>0</v>
          </cell>
          <cell r="Q160" t="str">
            <v>0202</v>
          </cell>
          <cell r="U160" t="str">
            <v>DN</v>
          </cell>
        </row>
        <row r="161">
          <cell r="H161" t="str">
            <v>79311004</v>
          </cell>
          <cell r="J161">
            <v>0</v>
          </cell>
          <cell r="Q161" t="str">
            <v>0401</v>
          </cell>
          <cell r="U161" t="str">
            <v>DN</v>
          </cell>
        </row>
        <row r="162">
          <cell r="H162" t="str">
            <v>01311033</v>
          </cell>
          <cell r="J162">
            <v>0</v>
          </cell>
          <cell r="Q162" t="str">
            <v>0802</v>
          </cell>
          <cell r="U162" t="str">
            <v>CN</v>
          </cell>
        </row>
        <row r="163">
          <cell r="H163" t="str">
            <v>44311001</v>
          </cell>
          <cell r="J163">
            <v>0</v>
          </cell>
          <cell r="Q163" t="str">
            <v>0802</v>
          </cell>
          <cell r="U163" t="str">
            <v>CN</v>
          </cell>
        </row>
        <row r="164">
          <cell r="H164" t="str">
            <v>52311001</v>
          </cell>
          <cell r="J164">
            <v>0</v>
          </cell>
          <cell r="Q164" t="str">
            <v>0202</v>
          </cell>
          <cell r="U164" t="str">
            <v>DN</v>
          </cell>
        </row>
        <row r="165">
          <cell r="H165" t="str">
            <v>27311001</v>
          </cell>
          <cell r="J165">
            <v>0</v>
          </cell>
          <cell r="Q165" t="str">
            <v>0401</v>
          </cell>
          <cell r="U165" t="str">
            <v>CN</v>
          </cell>
        </row>
        <row r="166">
          <cell r="H166" t="str">
            <v>10311001</v>
          </cell>
          <cell r="J166">
            <v>0</v>
          </cell>
          <cell r="Q166" t="str">
            <v>0401</v>
          </cell>
          <cell r="U166" t="str">
            <v>CN</v>
          </cell>
        </row>
        <row r="167">
          <cell r="H167" t="str">
            <v>01311013</v>
          </cell>
          <cell r="J167">
            <v>0</v>
          </cell>
          <cell r="Q167" t="str">
            <v>0401</v>
          </cell>
          <cell r="U167" t="str">
            <v>DN</v>
          </cell>
        </row>
        <row r="168">
          <cell r="H168" t="str">
            <v>79311019</v>
          </cell>
          <cell r="J168">
            <v>0</v>
          </cell>
          <cell r="Q168" t="str">
            <v>0401</v>
          </cell>
          <cell r="U168" t="str">
            <v>DN</v>
          </cell>
        </row>
        <row r="169">
          <cell r="H169" t="str">
            <v>79311006</v>
          </cell>
          <cell r="J169">
            <v>0</v>
          </cell>
          <cell r="Q169" t="str">
            <v>0401</v>
          </cell>
          <cell r="U169" t="str">
            <v>DN</v>
          </cell>
        </row>
        <row r="170">
          <cell r="H170" t="str">
            <v>30311001</v>
          </cell>
          <cell r="J170">
            <v>0</v>
          </cell>
          <cell r="Q170" t="str">
            <v>0401</v>
          </cell>
          <cell r="U170" t="str">
            <v>DN</v>
          </cell>
        </row>
        <row r="171">
          <cell r="H171" t="str">
            <v>35311001</v>
          </cell>
          <cell r="J171">
            <v>0</v>
          </cell>
          <cell r="Q171" t="str">
            <v>0202</v>
          </cell>
          <cell r="U171" t="str">
            <v>CN</v>
          </cell>
        </row>
        <row r="172">
          <cell r="H172" t="str">
            <v>01311013</v>
          </cell>
          <cell r="J172">
            <v>0</v>
          </cell>
          <cell r="Q172" t="str">
            <v>0403</v>
          </cell>
          <cell r="U172" t="str">
            <v>DN</v>
          </cell>
        </row>
        <row r="173">
          <cell r="H173" t="str">
            <v>35311001</v>
          </cell>
          <cell r="J173">
            <v>0</v>
          </cell>
          <cell r="Q173" t="str">
            <v>0202</v>
          </cell>
          <cell r="U173" t="str">
            <v>CN</v>
          </cell>
        </row>
        <row r="174">
          <cell r="H174" t="str">
            <v>01311005</v>
          </cell>
          <cell r="J174">
            <v>0</v>
          </cell>
          <cell r="Q174" t="str">
            <v>0202</v>
          </cell>
          <cell r="U174" t="str">
            <v>DN</v>
          </cell>
        </row>
        <row r="175">
          <cell r="H175" t="str">
            <v>31311002</v>
          </cell>
          <cell r="J175">
            <v>0</v>
          </cell>
          <cell r="Q175" t="str">
            <v>0401</v>
          </cell>
          <cell r="U175" t="str">
            <v>CN</v>
          </cell>
        </row>
        <row r="176">
          <cell r="H176" t="str">
            <v>01311013</v>
          </cell>
          <cell r="J176">
            <v>0</v>
          </cell>
          <cell r="Q176" t="str">
            <v>0702</v>
          </cell>
          <cell r="U176" t="str">
            <v>DN</v>
          </cell>
        </row>
        <row r="177">
          <cell r="H177" t="str">
            <v>33311001</v>
          </cell>
          <cell r="J177">
            <v>0</v>
          </cell>
          <cell r="Q177" t="str">
            <v>0402</v>
          </cell>
          <cell r="U177" t="str">
            <v>CN</v>
          </cell>
        </row>
        <row r="178">
          <cell r="H178" t="str">
            <v>25311001</v>
          </cell>
          <cell r="J178">
            <v>0</v>
          </cell>
          <cell r="Q178" t="str">
            <v>0402</v>
          </cell>
          <cell r="U178" t="str">
            <v>CN</v>
          </cell>
        </row>
        <row r="179">
          <cell r="H179" t="str">
            <v>01311006</v>
          </cell>
          <cell r="J179">
            <v>0</v>
          </cell>
          <cell r="Q179" t="str">
            <v>0202</v>
          </cell>
          <cell r="U179" t="str">
            <v>DN</v>
          </cell>
        </row>
        <row r="180">
          <cell r="H180" t="str">
            <v>35311001</v>
          </cell>
          <cell r="J180">
            <v>0</v>
          </cell>
          <cell r="Q180" t="str">
            <v>0401</v>
          </cell>
          <cell r="U180" t="str">
            <v>CN</v>
          </cell>
        </row>
        <row r="181">
          <cell r="H181" t="str">
            <v>60311001</v>
          </cell>
          <cell r="J181">
            <v>-1500000000</v>
          </cell>
          <cell r="Q181" t="str">
            <v>0401</v>
          </cell>
          <cell r="U181" t="str">
            <v>CN</v>
          </cell>
        </row>
        <row r="182">
          <cell r="H182" t="str">
            <v>25311001</v>
          </cell>
          <cell r="J182">
            <v>-50000000</v>
          </cell>
          <cell r="Q182" t="str">
            <v>0202</v>
          </cell>
          <cell r="U182" t="str">
            <v>CN</v>
          </cell>
        </row>
        <row r="183">
          <cell r="H183" t="str">
            <v>56311002</v>
          </cell>
          <cell r="J183">
            <v>-441615745</v>
          </cell>
          <cell r="Q183" t="str">
            <v>0403</v>
          </cell>
          <cell r="U183" t="str">
            <v>DN</v>
          </cell>
        </row>
        <row r="184">
          <cell r="H184" t="str">
            <v>48311002</v>
          </cell>
          <cell r="J184">
            <v>-11033940500</v>
          </cell>
          <cell r="Q184" t="str">
            <v>0401</v>
          </cell>
          <cell r="U184" t="str">
            <v>DN</v>
          </cell>
        </row>
        <row r="185">
          <cell r="H185" t="str">
            <v>79311001</v>
          </cell>
          <cell r="J185">
            <v>-411731862</v>
          </cell>
          <cell r="Q185" t="str">
            <v>0401</v>
          </cell>
          <cell r="U185" t="str">
            <v>DN</v>
          </cell>
        </row>
        <row r="186">
          <cell r="H186" t="str">
            <v>14311001</v>
          </cell>
          <cell r="J186">
            <v>-550000000</v>
          </cell>
          <cell r="Q186" t="str">
            <v>0202</v>
          </cell>
          <cell r="U186" t="str">
            <v>CN</v>
          </cell>
        </row>
        <row r="187">
          <cell r="H187" t="str">
            <v>96311001</v>
          </cell>
          <cell r="J187">
            <v>0</v>
          </cell>
          <cell r="Q187" t="str">
            <v>0401</v>
          </cell>
          <cell r="U187" t="str">
            <v>CN</v>
          </cell>
        </row>
        <row r="188">
          <cell r="H188" t="str">
            <v>83311001</v>
          </cell>
          <cell r="J188">
            <v>0</v>
          </cell>
          <cell r="Q188" t="str">
            <v>0202</v>
          </cell>
          <cell r="U188" t="str">
            <v>CN</v>
          </cell>
        </row>
        <row r="189">
          <cell r="H189" t="str">
            <v>25311001</v>
          </cell>
          <cell r="J189">
            <v>0</v>
          </cell>
          <cell r="Q189" t="str">
            <v>0401</v>
          </cell>
          <cell r="U189" t="str">
            <v>CN</v>
          </cell>
        </row>
        <row r="190">
          <cell r="H190" t="str">
            <v>25311001</v>
          </cell>
          <cell r="J190">
            <v>0</v>
          </cell>
          <cell r="Q190" t="str">
            <v>0402</v>
          </cell>
          <cell r="U190" t="str">
            <v>CN</v>
          </cell>
        </row>
        <row r="191">
          <cell r="H191" t="str">
            <v>79311021</v>
          </cell>
          <cell r="J191">
            <v>0</v>
          </cell>
          <cell r="Q191" t="str">
            <v>0401</v>
          </cell>
          <cell r="U191" t="str">
            <v>DN</v>
          </cell>
        </row>
        <row r="192">
          <cell r="H192" t="str">
            <v>68311001</v>
          </cell>
          <cell r="J192">
            <v>0</v>
          </cell>
          <cell r="Q192" t="str">
            <v>0402</v>
          </cell>
          <cell r="U192" t="str">
            <v>CN</v>
          </cell>
        </row>
        <row r="193">
          <cell r="H193" t="str">
            <v>01311009</v>
          </cell>
          <cell r="J193">
            <v>0</v>
          </cell>
          <cell r="Q193" t="str">
            <v>0804</v>
          </cell>
          <cell r="U193" t="str">
            <v>DN</v>
          </cell>
        </row>
        <row r="194">
          <cell r="H194" t="str">
            <v>38311001</v>
          </cell>
          <cell r="J194">
            <v>0</v>
          </cell>
          <cell r="Q194" t="str">
            <v>0202</v>
          </cell>
          <cell r="U194" t="str">
            <v>DN</v>
          </cell>
        </row>
        <row r="195">
          <cell r="H195" t="str">
            <v>01311010</v>
          </cell>
          <cell r="J195">
            <v>0</v>
          </cell>
          <cell r="Q195" t="str">
            <v>0202</v>
          </cell>
          <cell r="U195" t="str">
            <v>DN</v>
          </cell>
        </row>
        <row r="196">
          <cell r="H196" t="str">
            <v>70311001</v>
          </cell>
          <cell r="J196">
            <v>-2341584000</v>
          </cell>
          <cell r="Q196" t="str">
            <v>0401</v>
          </cell>
          <cell r="U196" t="str">
            <v>DN</v>
          </cell>
        </row>
        <row r="197">
          <cell r="H197" t="str">
            <v>40311001</v>
          </cell>
          <cell r="J197">
            <v>-3500000000</v>
          </cell>
          <cell r="Q197" t="str">
            <v>0401</v>
          </cell>
          <cell r="U197" t="str">
            <v>DN</v>
          </cell>
        </row>
        <row r="198">
          <cell r="H198" t="str">
            <v>79311005</v>
          </cell>
          <cell r="J198">
            <v>-1115000000</v>
          </cell>
          <cell r="Q198" t="str">
            <v>0401</v>
          </cell>
          <cell r="U198" t="str">
            <v>DN</v>
          </cell>
        </row>
        <row r="199">
          <cell r="H199" t="str">
            <v>96311001</v>
          </cell>
          <cell r="J199">
            <v>-200000000</v>
          </cell>
          <cell r="Q199" t="str">
            <v>0401</v>
          </cell>
          <cell r="U199" t="str">
            <v>CN</v>
          </cell>
        </row>
        <row r="200">
          <cell r="H200" t="str">
            <v>79311001</v>
          </cell>
          <cell r="J200">
            <v>-5710445730</v>
          </cell>
          <cell r="Q200" t="str">
            <v>0401</v>
          </cell>
          <cell r="U200" t="str">
            <v>DN</v>
          </cell>
        </row>
        <row r="201">
          <cell r="H201" t="str">
            <v>20311001</v>
          </cell>
          <cell r="J201">
            <v>0</v>
          </cell>
          <cell r="Q201" t="str">
            <v>0401</v>
          </cell>
          <cell r="U201" t="str">
            <v>CN</v>
          </cell>
        </row>
        <row r="202">
          <cell r="H202" t="str">
            <v>15311001</v>
          </cell>
          <cell r="J202">
            <v>0</v>
          </cell>
          <cell r="Q202" t="str">
            <v>0202</v>
          </cell>
          <cell r="U202" t="str">
            <v>CN</v>
          </cell>
        </row>
        <row r="203">
          <cell r="H203" t="str">
            <v>79311005</v>
          </cell>
          <cell r="J203">
            <v>0</v>
          </cell>
          <cell r="Q203" t="str">
            <v>0802</v>
          </cell>
          <cell r="U203" t="str">
            <v>CN</v>
          </cell>
        </row>
        <row r="204">
          <cell r="H204" t="str">
            <v>96311001</v>
          </cell>
          <cell r="J204">
            <v>0</v>
          </cell>
          <cell r="Q204" t="str">
            <v>0401</v>
          </cell>
          <cell r="U204" t="str">
            <v>DN</v>
          </cell>
        </row>
        <row r="205">
          <cell r="H205" t="str">
            <v>89311001</v>
          </cell>
          <cell r="J205">
            <v>0</v>
          </cell>
          <cell r="Q205" t="str">
            <v>0401</v>
          </cell>
          <cell r="U205" t="str">
            <v>CN</v>
          </cell>
        </row>
        <row r="206">
          <cell r="H206" t="str">
            <v>60311001</v>
          </cell>
          <cell r="J206">
            <v>0</v>
          </cell>
          <cell r="Q206" t="str">
            <v>0401</v>
          </cell>
          <cell r="U206" t="str">
            <v>DN</v>
          </cell>
        </row>
        <row r="207">
          <cell r="H207" t="str">
            <v>01311006</v>
          </cell>
          <cell r="J207">
            <v>0</v>
          </cell>
          <cell r="Q207" t="str">
            <v>0202</v>
          </cell>
          <cell r="U207" t="str">
            <v>DN</v>
          </cell>
        </row>
        <row r="208">
          <cell r="H208" t="str">
            <v>42311001</v>
          </cell>
          <cell r="J208">
            <v>0</v>
          </cell>
          <cell r="Q208" t="str">
            <v>0401</v>
          </cell>
          <cell r="U208" t="str">
            <v>CN</v>
          </cell>
        </row>
        <row r="209">
          <cell r="H209" t="str">
            <v>36311001</v>
          </cell>
          <cell r="J209">
            <v>0</v>
          </cell>
          <cell r="Q209" t="str">
            <v>0202</v>
          </cell>
          <cell r="U209" t="str">
            <v>DN</v>
          </cell>
        </row>
        <row r="210">
          <cell r="H210" t="str">
            <v>48311002</v>
          </cell>
          <cell r="J210">
            <v>0</v>
          </cell>
          <cell r="Q210" t="str">
            <v>0804</v>
          </cell>
          <cell r="U210" t="str">
            <v>CN</v>
          </cell>
        </row>
        <row r="211">
          <cell r="H211" t="str">
            <v>75311001</v>
          </cell>
          <cell r="J211">
            <v>0</v>
          </cell>
          <cell r="Q211" t="str">
            <v>0401</v>
          </cell>
          <cell r="U211" t="str">
            <v>CN</v>
          </cell>
        </row>
        <row r="212">
          <cell r="H212" t="str">
            <v>79311006</v>
          </cell>
          <cell r="J212">
            <v>0</v>
          </cell>
          <cell r="Q212" t="str">
            <v>0401</v>
          </cell>
          <cell r="U212" t="str">
            <v>DN</v>
          </cell>
        </row>
        <row r="213">
          <cell r="H213" t="str">
            <v>75311001</v>
          </cell>
          <cell r="J213">
            <v>0</v>
          </cell>
          <cell r="Q213" t="str">
            <v>0202</v>
          </cell>
          <cell r="U213" t="str">
            <v>DN</v>
          </cell>
        </row>
        <row r="214">
          <cell r="H214" t="str">
            <v>96311001</v>
          </cell>
          <cell r="J214">
            <v>0</v>
          </cell>
          <cell r="Q214" t="str">
            <v>0401</v>
          </cell>
          <cell r="U214" t="str">
            <v>CN</v>
          </cell>
        </row>
        <row r="215">
          <cell r="H215" t="str">
            <v>14311001</v>
          </cell>
          <cell r="J215">
            <v>0</v>
          </cell>
          <cell r="Q215" t="str">
            <v>0401</v>
          </cell>
          <cell r="U215" t="str">
            <v>CN</v>
          </cell>
        </row>
        <row r="216">
          <cell r="H216" t="str">
            <v>01311035</v>
          </cell>
          <cell r="J216">
            <v>0</v>
          </cell>
          <cell r="Q216" t="str">
            <v>0202</v>
          </cell>
          <cell r="U216" t="str">
            <v>CN</v>
          </cell>
        </row>
        <row r="217">
          <cell r="H217" t="str">
            <v>79311001</v>
          </cell>
          <cell r="J217">
            <v>0</v>
          </cell>
          <cell r="Q217" t="str">
            <v>0401</v>
          </cell>
          <cell r="U217" t="str">
            <v>DN</v>
          </cell>
        </row>
        <row r="218">
          <cell r="H218" t="str">
            <v>75311001</v>
          </cell>
          <cell r="J218">
            <v>0</v>
          </cell>
          <cell r="Q218" t="str">
            <v>0802</v>
          </cell>
          <cell r="U218" t="str">
            <v>CN</v>
          </cell>
        </row>
        <row r="219">
          <cell r="H219" t="str">
            <v>44311001</v>
          </cell>
          <cell r="J219">
            <v>0</v>
          </cell>
          <cell r="Q219" t="str">
            <v>0202</v>
          </cell>
          <cell r="U219" t="str">
            <v>DN</v>
          </cell>
        </row>
        <row r="220">
          <cell r="H220" t="str">
            <v>48311001</v>
          </cell>
          <cell r="J220">
            <v>0</v>
          </cell>
          <cell r="Q220" t="str">
            <v>0401</v>
          </cell>
          <cell r="U220" t="str">
            <v>DN</v>
          </cell>
        </row>
        <row r="221">
          <cell r="H221" t="str">
            <v>52311001</v>
          </cell>
          <cell r="J221">
            <v>0</v>
          </cell>
          <cell r="Q221" t="str">
            <v>0202</v>
          </cell>
          <cell r="U221" t="str">
            <v>DN</v>
          </cell>
        </row>
        <row r="222">
          <cell r="H222" t="str">
            <v>01311002</v>
          </cell>
          <cell r="J222">
            <v>0</v>
          </cell>
          <cell r="Q222" t="str">
            <v>0802</v>
          </cell>
          <cell r="U222" t="str">
            <v>CN</v>
          </cell>
        </row>
        <row r="223">
          <cell r="H223" t="str">
            <v>01311007</v>
          </cell>
          <cell r="J223">
            <v>0</v>
          </cell>
          <cell r="Q223" t="str">
            <v>0401</v>
          </cell>
          <cell r="U223" t="str">
            <v>DN</v>
          </cell>
        </row>
        <row r="224">
          <cell r="H224" t="str">
            <v>64311001</v>
          </cell>
          <cell r="J224">
            <v>0</v>
          </cell>
          <cell r="Q224" t="str">
            <v>0101</v>
          </cell>
          <cell r="U224" t="str">
            <v>CN</v>
          </cell>
        </row>
        <row r="225">
          <cell r="H225" t="str">
            <v>79311019</v>
          </cell>
          <cell r="J225">
            <v>0</v>
          </cell>
          <cell r="Q225" t="str">
            <v>0401</v>
          </cell>
          <cell r="U225" t="str">
            <v>DN</v>
          </cell>
        </row>
        <row r="226">
          <cell r="H226" t="str">
            <v>91311002</v>
          </cell>
          <cell r="J226">
            <v>0</v>
          </cell>
          <cell r="Q226" t="str">
            <v>0401</v>
          </cell>
          <cell r="U226" t="str">
            <v>CN</v>
          </cell>
        </row>
        <row r="227">
          <cell r="H227" t="str">
            <v>22311001</v>
          </cell>
          <cell r="J227">
            <v>0</v>
          </cell>
          <cell r="Q227" t="str">
            <v>0403</v>
          </cell>
          <cell r="U227" t="str">
            <v>DN</v>
          </cell>
        </row>
        <row r="228">
          <cell r="H228" t="str">
            <v>01311036</v>
          </cell>
          <cell r="J228">
            <v>0</v>
          </cell>
          <cell r="Q228" t="str">
            <v>0202</v>
          </cell>
          <cell r="U228" t="str">
            <v>CN</v>
          </cell>
        </row>
        <row r="229">
          <cell r="H229" t="str">
            <v>01311036</v>
          </cell>
          <cell r="J229">
            <v>0</v>
          </cell>
          <cell r="Q229" t="str">
            <v>0202</v>
          </cell>
          <cell r="U229" t="str">
            <v>CN</v>
          </cell>
        </row>
        <row r="230">
          <cell r="H230" t="str">
            <v>30311001</v>
          </cell>
          <cell r="J230">
            <v>0</v>
          </cell>
          <cell r="Q230" t="str">
            <v>0202</v>
          </cell>
          <cell r="U230" t="str">
            <v>CN</v>
          </cell>
        </row>
        <row r="231">
          <cell r="H231" t="str">
            <v>27311001</v>
          </cell>
          <cell r="J231">
            <v>0</v>
          </cell>
          <cell r="Q231" t="str">
            <v>0401</v>
          </cell>
          <cell r="U231" t="str">
            <v>DN</v>
          </cell>
        </row>
        <row r="232">
          <cell r="H232" t="str">
            <v>01311013</v>
          </cell>
          <cell r="J232">
            <v>0</v>
          </cell>
          <cell r="Q232" t="str">
            <v>0403</v>
          </cell>
          <cell r="U232" t="str">
            <v>DN</v>
          </cell>
        </row>
        <row r="233">
          <cell r="H233" t="str">
            <v>22311001</v>
          </cell>
          <cell r="J233">
            <v>0</v>
          </cell>
          <cell r="Q233" t="str">
            <v>0403</v>
          </cell>
          <cell r="U233" t="str">
            <v>DN</v>
          </cell>
        </row>
        <row r="234">
          <cell r="H234" t="str">
            <v>25311001</v>
          </cell>
          <cell r="J234">
            <v>0</v>
          </cell>
          <cell r="Q234" t="str">
            <v>0402</v>
          </cell>
          <cell r="U234" t="str">
            <v>CN</v>
          </cell>
        </row>
        <row r="235">
          <cell r="H235" t="str">
            <v>49311001</v>
          </cell>
          <cell r="J235">
            <v>0</v>
          </cell>
          <cell r="Q235" t="str">
            <v>0403</v>
          </cell>
          <cell r="U235" t="str">
            <v>DN</v>
          </cell>
        </row>
        <row r="236">
          <cell r="H236" t="str">
            <v>01311006</v>
          </cell>
          <cell r="J236">
            <v>0</v>
          </cell>
          <cell r="Q236" t="str">
            <v>0401</v>
          </cell>
          <cell r="U236" t="str">
            <v>DN</v>
          </cell>
        </row>
        <row r="237">
          <cell r="H237" t="str">
            <v>83311001</v>
          </cell>
          <cell r="J237">
            <v>0</v>
          </cell>
          <cell r="Q237" t="str">
            <v>0403</v>
          </cell>
          <cell r="U237" t="str">
            <v>CN</v>
          </cell>
        </row>
        <row r="238">
          <cell r="H238" t="str">
            <v>56311001</v>
          </cell>
          <cell r="J238">
            <v>0</v>
          </cell>
          <cell r="Q238" t="str">
            <v>0401</v>
          </cell>
          <cell r="U238" t="str">
            <v>DN</v>
          </cell>
        </row>
        <row r="239">
          <cell r="H239" t="str">
            <v>75311003</v>
          </cell>
          <cell r="J239">
            <v>-272449234</v>
          </cell>
          <cell r="Q239" t="str">
            <v>0401</v>
          </cell>
          <cell r="U239" t="str">
            <v>DN</v>
          </cell>
        </row>
        <row r="240">
          <cell r="H240" t="str">
            <v>01311034</v>
          </cell>
          <cell r="J240">
            <v>-500000000</v>
          </cell>
          <cell r="Q240" t="str">
            <v>0202</v>
          </cell>
          <cell r="U240" t="str">
            <v>CN</v>
          </cell>
        </row>
        <row r="241">
          <cell r="H241" t="str">
            <v>74311003</v>
          </cell>
          <cell r="J241">
            <v>-4000000000</v>
          </cell>
          <cell r="Q241" t="str">
            <v>0202</v>
          </cell>
          <cell r="U241" t="str">
            <v>DN</v>
          </cell>
        </row>
        <row r="242">
          <cell r="H242" t="str">
            <v>79311005</v>
          </cell>
          <cell r="J242">
            <v>-7348493162</v>
          </cell>
          <cell r="Q242" t="str">
            <v>0401</v>
          </cell>
          <cell r="U242" t="str">
            <v>DN</v>
          </cell>
        </row>
        <row r="243">
          <cell r="H243" t="str">
            <v>01311014</v>
          </cell>
          <cell r="J243">
            <v>0</v>
          </cell>
          <cell r="Q243" t="str">
            <v>0401</v>
          </cell>
          <cell r="U243" t="str">
            <v>DN</v>
          </cell>
        </row>
        <row r="244">
          <cell r="H244" t="str">
            <v>68311001</v>
          </cell>
          <cell r="J244">
            <v>0</v>
          </cell>
          <cell r="Q244" t="str">
            <v>0101</v>
          </cell>
          <cell r="U244" t="str">
            <v>CN</v>
          </cell>
        </row>
        <row r="245">
          <cell r="H245" t="str">
            <v>36311001</v>
          </cell>
          <cell r="J245">
            <v>0</v>
          </cell>
          <cell r="Q245" t="str">
            <v>0802</v>
          </cell>
          <cell r="U245" t="str">
            <v>CN</v>
          </cell>
        </row>
        <row r="246">
          <cell r="H246" t="str">
            <v>01311014</v>
          </cell>
          <cell r="J246">
            <v>0</v>
          </cell>
          <cell r="Q246" t="str">
            <v>0202</v>
          </cell>
          <cell r="U246" t="str">
            <v>DN</v>
          </cell>
        </row>
        <row r="247">
          <cell r="H247" t="str">
            <v>79311007</v>
          </cell>
          <cell r="J247">
            <v>0</v>
          </cell>
          <cell r="Q247" t="str">
            <v>0202</v>
          </cell>
          <cell r="U247" t="str">
            <v>DN</v>
          </cell>
        </row>
        <row r="248">
          <cell r="H248" t="str">
            <v>70311001</v>
          </cell>
          <cell r="J248">
            <v>0</v>
          </cell>
          <cell r="Q248" t="str">
            <v>0401</v>
          </cell>
          <cell r="U248" t="str">
            <v>CN</v>
          </cell>
        </row>
        <row r="249">
          <cell r="H249" t="str">
            <v>44311001</v>
          </cell>
          <cell r="J249">
            <v>0</v>
          </cell>
          <cell r="Q249" t="str">
            <v>0802</v>
          </cell>
          <cell r="U249" t="str">
            <v>CN</v>
          </cell>
        </row>
        <row r="250">
          <cell r="H250" t="str">
            <v>70311001</v>
          </cell>
          <cell r="J250">
            <v>0</v>
          </cell>
          <cell r="Q250" t="str">
            <v>0401</v>
          </cell>
          <cell r="U250" t="str">
            <v>DN</v>
          </cell>
        </row>
        <row r="251">
          <cell r="H251" t="str">
            <v>01311007</v>
          </cell>
          <cell r="J251">
            <v>0</v>
          </cell>
          <cell r="Q251" t="str">
            <v>0802</v>
          </cell>
          <cell r="U251" t="str">
            <v>CN</v>
          </cell>
        </row>
        <row r="252">
          <cell r="H252" t="str">
            <v>48311002</v>
          </cell>
          <cell r="J252">
            <v>0</v>
          </cell>
          <cell r="Q252" t="str">
            <v>0401</v>
          </cell>
          <cell r="U252" t="str">
            <v>DN</v>
          </cell>
        </row>
        <row r="253">
          <cell r="H253" t="str">
            <v>37311001</v>
          </cell>
          <cell r="J253">
            <v>0</v>
          </cell>
          <cell r="Q253" t="str">
            <v>0401</v>
          </cell>
          <cell r="U253" t="str">
            <v>CN</v>
          </cell>
        </row>
        <row r="254">
          <cell r="H254" t="str">
            <v>34311001</v>
          </cell>
          <cell r="J254">
            <v>0</v>
          </cell>
          <cell r="Q254" t="str">
            <v>0401</v>
          </cell>
          <cell r="U254" t="str">
            <v>CN</v>
          </cell>
        </row>
        <row r="255">
          <cell r="H255" t="str">
            <v>70311001</v>
          </cell>
          <cell r="J255">
            <v>0</v>
          </cell>
          <cell r="Q255" t="str">
            <v>0401</v>
          </cell>
          <cell r="U255" t="str">
            <v>DN</v>
          </cell>
        </row>
        <row r="256">
          <cell r="H256" t="str">
            <v>38311001</v>
          </cell>
          <cell r="J256">
            <v>0</v>
          </cell>
          <cell r="Q256" t="str">
            <v>0401</v>
          </cell>
          <cell r="U256" t="str">
            <v>CN</v>
          </cell>
        </row>
        <row r="257">
          <cell r="H257" t="str">
            <v>15311001</v>
          </cell>
          <cell r="J257">
            <v>0</v>
          </cell>
          <cell r="Q257" t="str">
            <v>0202</v>
          </cell>
          <cell r="U257" t="str">
            <v>CN</v>
          </cell>
        </row>
        <row r="258">
          <cell r="H258" t="str">
            <v>01311006</v>
          </cell>
          <cell r="J258">
            <v>0</v>
          </cell>
          <cell r="Q258" t="str">
            <v>0202</v>
          </cell>
          <cell r="U258" t="str">
            <v>DN</v>
          </cell>
        </row>
        <row r="259">
          <cell r="H259" t="str">
            <v>72311001</v>
          </cell>
          <cell r="J259">
            <v>0</v>
          </cell>
          <cell r="Q259" t="str">
            <v>0202</v>
          </cell>
          <cell r="U259" t="str">
            <v>CN</v>
          </cell>
        </row>
        <row r="260">
          <cell r="H260" t="str">
            <v>01311014</v>
          </cell>
          <cell r="J260">
            <v>0</v>
          </cell>
          <cell r="Q260" t="str">
            <v>0401</v>
          </cell>
          <cell r="U260" t="str">
            <v>CN</v>
          </cell>
        </row>
        <row r="261">
          <cell r="H261" t="str">
            <v>48311002</v>
          </cell>
          <cell r="J261">
            <v>0</v>
          </cell>
          <cell r="Q261" t="str">
            <v>0403</v>
          </cell>
          <cell r="U261" t="str">
            <v>DN</v>
          </cell>
        </row>
        <row r="262">
          <cell r="H262" t="str">
            <v>01311012</v>
          </cell>
          <cell r="J262">
            <v>0</v>
          </cell>
          <cell r="Q262" t="str">
            <v>0202</v>
          </cell>
          <cell r="U262" t="str">
            <v>DN</v>
          </cell>
        </row>
        <row r="263">
          <cell r="H263" t="str">
            <v>01311002</v>
          </cell>
          <cell r="J263">
            <v>0</v>
          </cell>
          <cell r="Q263" t="str">
            <v>0401</v>
          </cell>
          <cell r="U263" t="str">
            <v>DN</v>
          </cell>
        </row>
        <row r="264">
          <cell r="H264" t="str">
            <v>01311006</v>
          </cell>
          <cell r="J264">
            <v>0</v>
          </cell>
          <cell r="Q264" t="str">
            <v>0401</v>
          </cell>
          <cell r="U264" t="str">
            <v>DN</v>
          </cell>
        </row>
        <row r="265">
          <cell r="H265" t="str">
            <v>10311001</v>
          </cell>
          <cell r="J265">
            <v>-820000000</v>
          </cell>
          <cell r="Q265" t="str">
            <v>0401</v>
          </cell>
          <cell r="U265" t="str">
            <v>CN</v>
          </cell>
        </row>
        <row r="266">
          <cell r="H266" t="str">
            <v>79311006</v>
          </cell>
          <cell r="J266">
            <v>-600000000</v>
          </cell>
          <cell r="Q266" t="str">
            <v>0401</v>
          </cell>
          <cell r="U266" t="str">
            <v>DN</v>
          </cell>
        </row>
        <row r="267">
          <cell r="H267" t="str">
            <v>74311001</v>
          </cell>
          <cell r="J267">
            <v>-4326478551.3000002</v>
          </cell>
          <cell r="Q267" t="str">
            <v>0202</v>
          </cell>
          <cell r="U267" t="str">
            <v>DN</v>
          </cell>
        </row>
        <row r="268">
          <cell r="H268" t="str">
            <v>72311001</v>
          </cell>
          <cell r="J268">
            <v>-900000000</v>
          </cell>
          <cell r="Q268" t="str">
            <v>0401</v>
          </cell>
          <cell r="U268" t="str">
            <v>CN</v>
          </cell>
        </row>
        <row r="269">
          <cell r="H269" t="str">
            <v>96311001</v>
          </cell>
          <cell r="J269">
            <v>-1018235045</v>
          </cell>
          <cell r="Q269" t="str">
            <v>0401</v>
          </cell>
          <cell r="U269" t="str">
            <v>DN</v>
          </cell>
        </row>
        <row r="270">
          <cell r="H270" t="str">
            <v>70311001</v>
          </cell>
          <cell r="J270">
            <v>-2231822250</v>
          </cell>
          <cell r="Q270" t="str">
            <v>0401</v>
          </cell>
          <cell r="U270" t="str">
            <v>DN</v>
          </cell>
        </row>
        <row r="271">
          <cell r="H271" t="str">
            <v>89311001</v>
          </cell>
          <cell r="J271">
            <v>-200000000</v>
          </cell>
          <cell r="Q271" t="str">
            <v>0401</v>
          </cell>
          <cell r="U271" t="str">
            <v>CN</v>
          </cell>
        </row>
        <row r="272">
          <cell r="H272" t="str">
            <v>25311001</v>
          </cell>
          <cell r="J272">
            <v>0</v>
          </cell>
          <cell r="Q272" t="str">
            <v>0401</v>
          </cell>
          <cell r="U272" t="str">
            <v>DN</v>
          </cell>
        </row>
        <row r="273">
          <cell r="H273" t="str">
            <v>01311013</v>
          </cell>
          <cell r="J273">
            <v>0</v>
          </cell>
          <cell r="Q273" t="str">
            <v>0202</v>
          </cell>
          <cell r="U273" t="str">
            <v>CN</v>
          </cell>
        </row>
        <row r="274">
          <cell r="H274" t="str">
            <v>79311001</v>
          </cell>
          <cell r="J274">
            <v>0</v>
          </cell>
          <cell r="Q274" t="str">
            <v>0202</v>
          </cell>
          <cell r="U274" t="str">
            <v>DN</v>
          </cell>
        </row>
        <row r="275">
          <cell r="H275" t="str">
            <v>34311001</v>
          </cell>
          <cell r="J275">
            <v>0</v>
          </cell>
          <cell r="Q275" t="str">
            <v>0401</v>
          </cell>
          <cell r="U275" t="str">
            <v>CN</v>
          </cell>
        </row>
        <row r="276">
          <cell r="H276" t="str">
            <v>01311013</v>
          </cell>
          <cell r="J276">
            <v>0</v>
          </cell>
          <cell r="Q276" t="str">
            <v>0401</v>
          </cell>
          <cell r="U276" t="str">
            <v>DN</v>
          </cell>
        </row>
        <row r="277">
          <cell r="H277" t="str">
            <v>74311001</v>
          </cell>
          <cell r="J277">
            <v>0</v>
          </cell>
          <cell r="Q277" t="str">
            <v>0202</v>
          </cell>
          <cell r="U277" t="str">
            <v>DN</v>
          </cell>
        </row>
        <row r="278">
          <cell r="H278" t="str">
            <v>75311001</v>
          </cell>
          <cell r="J278">
            <v>0</v>
          </cell>
          <cell r="Q278" t="str">
            <v>0202</v>
          </cell>
          <cell r="U278" t="str">
            <v>DN</v>
          </cell>
        </row>
        <row r="279">
          <cell r="H279" t="str">
            <v>70311001</v>
          </cell>
          <cell r="J279">
            <v>0</v>
          </cell>
          <cell r="Q279" t="str">
            <v>0401</v>
          </cell>
          <cell r="U279" t="str">
            <v>DN</v>
          </cell>
        </row>
        <row r="280">
          <cell r="H280" t="str">
            <v>79311004</v>
          </cell>
          <cell r="J280">
            <v>0</v>
          </cell>
          <cell r="Q280" t="str">
            <v>0401</v>
          </cell>
          <cell r="U280" t="str">
            <v>CN</v>
          </cell>
        </row>
        <row r="281">
          <cell r="H281" t="str">
            <v>01311007</v>
          </cell>
          <cell r="J281">
            <v>0</v>
          </cell>
          <cell r="Q281" t="str">
            <v>0802</v>
          </cell>
          <cell r="U281" t="str">
            <v>DN</v>
          </cell>
        </row>
        <row r="282">
          <cell r="H282" t="str">
            <v>24311001</v>
          </cell>
          <cell r="J282">
            <v>0</v>
          </cell>
          <cell r="Q282" t="str">
            <v>0202</v>
          </cell>
          <cell r="U282" t="str">
            <v>DN</v>
          </cell>
        </row>
        <row r="283">
          <cell r="H283" t="str">
            <v>01311005</v>
          </cell>
          <cell r="J283">
            <v>0</v>
          </cell>
          <cell r="Q283" t="str">
            <v>0401</v>
          </cell>
          <cell r="U283" t="str">
            <v>DN</v>
          </cell>
        </row>
        <row r="284">
          <cell r="H284" t="str">
            <v>30311001</v>
          </cell>
          <cell r="J284">
            <v>0</v>
          </cell>
          <cell r="Q284" t="str">
            <v>0401</v>
          </cell>
          <cell r="U284" t="str">
            <v>CN</v>
          </cell>
        </row>
        <row r="285">
          <cell r="H285" t="str">
            <v>01311004</v>
          </cell>
          <cell r="J285">
            <v>0</v>
          </cell>
          <cell r="Q285" t="str">
            <v>0202</v>
          </cell>
          <cell r="U285" t="str">
            <v>DN</v>
          </cell>
        </row>
        <row r="286">
          <cell r="H286" t="str">
            <v>48311002</v>
          </cell>
          <cell r="J286">
            <v>0</v>
          </cell>
          <cell r="Q286" t="str">
            <v>0401</v>
          </cell>
          <cell r="U286" t="str">
            <v>DN</v>
          </cell>
        </row>
        <row r="287">
          <cell r="H287" t="str">
            <v>37311001</v>
          </cell>
          <cell r="J287">
            <v>0</v>
          </cell>
          <cell r="Q287" t="str">
            <v>0401</v>
          </cell>
          <cell r="U287" t="str">
            <v>CN</v>
          </cell>
        </row>
        <row r="288">
          <cell r="H288" t="str">
            <v>79311007</v>
          </cell>
          <cell r="J288">
            <v>0</v>
          </cell>
          <cell r="Q288" t="str">
            <v>0202</v>
          </cell>
          <cell r="U288" t="str">
            <v>DN</v>
          </cell>
        </row>
        <row r="289">
          <cell r="H289" t="str">
            <v>79311007</v>
          </cell>
          <cell r="J289">
            <v>0</v>
          </cell>
          <cell r="Q289" t="str">
            <v>0202</v>
          </cell>
          <cell r="U289" t="str">
            <v>DN</v>
          </cell>
        </row>
        <row r="290">
          <cell r="H290" t="str">
            <v>79311019</v>
          </cell>
          <cell r="J290">
            <v>0</v>
          </cell>
          <cell r="Q290" t="str">
            <v>0401</v>
          </cell>
          <cell r="U290" t="str">
            <v>DN</v>
          </cell>
        </row>
        <row r="291">
          <cell r="H291" t="str">
            <v>51311001</v>
          </cell>
          <cell r="J291">
            <v>0</v>
          </cell>
          <cell r="Q291" t="str">
            <v>0401</v>
          </cell>
          <cell r="U291" t="str">
            <v>CN</v>
          </cell>
        </row>
        <row r="292">
          <cell r="H292" t="str">
            <v>68311002</v>
          </cell>
          <cell r="J292">
            <v>0</v>
          </cell>
          <cell r="Q292" t="str">
            <v>0401</v>
          </cell>
          <cell r="U292" t="str">
            <v>DN</v>
          </cell>
        </row>
        <row r="293">
          <cell r="H293" t="str">
            <v>15311001</v>
          </cell>
          <cell r="J293">
            <v>0</v>
          </cell>
          <cell r="Q293" t="str">
            <v>0401</v>
          </cell>
          <cell r="U293" t="str">
            <v>CN</v>
          </cell>
        </row>
        <row r="294">
          <cell r="H294" t="str">
            <v>08311001</v>
          </cell>
          <cell r="J294">
            <v>0</v>
          </cell>
          <cell r="Q294" t="str">
            <v>0401</v>
          </cell>
          <cell r="U294" t="str">
            <v>CN</v>
          </cell>
        </row>
        <row r="295">
          <cell r="H295" t="str">
            <v>79311006</v>
          </cell>
          <cell r="J295">
            <v>0</v>
          </cell>
          <cell r="Q295" t="str">
            <v>0202</v>
          </cell>
          <cell r="U295" t="str">
            <v>DN</v>
          </cell>
        </row>
        <row r="296">
          <cell r="H296" t="str">
            <v>38311001</v>
          </cell>
          <cell r="J296">
            <v>0</v>
          </cell>
          <cell r="Q296" t="str">
            <v>0802</v>
          </cell>
          <cell r="U296" t="str">
            <v>CN</v>
          </cell>
        </row>
        <row r="297">
          <cell r="H297" t="str">
            <v>24311001</v>
          </cell>
          <cell r="J297">
            <v>0</v>
          </cell>
          <cell r="Q297" t="str">
            <v>0202</v>
          </cell>
          <cell r="U297" t="str">
            <v>DN</v>
          </cell>
        </row>
        <row r="298">
          <cell r="H298" t="str">
            <v>38311001</v>
          </cell>
          <cell r="J298">
            <v>0</v>
          </cell>
          <cell r="Q298" t="str">
            <v>0401</v>
          </cell>
          <cell r="U298" t="str">
            <v>DN</v>
          </cell>
        </row>
        <row r="299">
          <cell r="H299" t="str">
            <v>75311001</v>
          </cell>
          <cell r="J299">
            <v>0</v>
          </cell>
          <cell r="Q299" t="str">
            <v>0401</v>
          </cell>
          <cell r="U299" t="str">
            <v>CN</v>
          </cell>
        </row>
        <row r="300">
          <cell r="H300" t="str">
            <v>33311001</v>
          </cell>
          <cell r="J300">
            <v>0</v>
          </cell>
          <cell r="Q300" t="str">
            <v>0202</v>
          </cell>
          <cell r="U300" t="str">
            <v>DN</v>
          </cell>
        </row>
        <row r="301">
          <cell r="H301" t="str">
            <v>51311001</v>
          </cell>
          <cell r="J301">
            <v>0</v>
          </cell>
          <cell r="Q301" t="str">
            <v>0401</v>
          </cell>
          <cell r="U301" t="str">
            <v>CN</v>
          </cell>
        </row>
        <row r="302">
          <cell r="H302" t="str">
            <v>79311002</v>
          </cell>
          <cell r="J302">
            <v>0</v>
          </cell>
          <cell r="Q302" t="str">
            <v>0401</v>
          </cell>
          <cell r="U302" t="str">
            <v>DN</v>
          </cell>
        </row>
        <row r="303">
          <cell r="H303" t="str">
            <v>01311006</v>
          </cell>
          <cell r="J303">
            <v>0</v>
          </cell>
          <cell r="Q303" t="str">
            <v>0202</v>
          </cell>
          <cell r="U303" t="str">
            <v>DN</v>
          </cell>
        </row>
        <row r="304">
          <cell r="H304" t="str">
            <v>01311003</v>
          </cell>
          <cell r="J304">
            <v>0</v>
          </cell>
          <cell r="Q304" t="str">
            <v>0402</v>
          </cell>
          <cell r="U304" t="str">
            <v>DN</v>
          </cell>
        </row>
        <row r="305">
          <cell r="H305" t="str">
            <v>74311001</v>
          </cell>
          <cell r="J305">
            <v>0</v>
          </cell>
          <cell r="Q305" t="str">
            <v>0202</v>
          </cell>
          <cell r="U305" t="str">
            <v>DN</v>
          </cell>
        </row>
        <row r="306">
          <cell r="H306" t="str">
            <v>34311001</v>
          </cell>
          <cell r="J306">
            <v>0</v>
          </cell>
          <cell r="Q306" t="str">
            <v>0401</v>
          </cell>
          <cell r="U306" t="str">
            <v>CN</v>
          </cell>
        </row>
        <row r="307">
          <cell r="H307" t="str">
            <v>01311005</v>
          </cell>
          <cell r="J307">
            <v>0</v>
          </cell>
          <cell r="Q307" t="str">
            <v>0202</v>
          </cell>
          <cell r="U307" t="str">
            <v>DN</v>
          </cell>
        </row>
        <row r="308">
          <cell r="H308" t="str">
            <v>01311007</v>
          </cell>
          <cell r="J308">
            <v>0</v>
          </cell>
          <cell r="Q308" t="str">
            <v>0401</v>
          </cell>
          <cell r="U308" t="str">
            <v>DN</v>
          </cell>
        </row>
        <row r="309">
          <cell r="H309" t="str">
            <v>56311002</v>
          </cell>
          <cell r="J309">
            <v>-1120227407</v>
          </cell>
          <cell r="Q309" t="str">
            <v>0401</v>
          </cell>
          <cell r="U309" t="str">
            <v>DN</v>
          </cell>
        </row>
        <row r="310">
          <cell r="H310" t="str">
            <v>48311001</v>
          </cell>
          <cell r="J310">
            <v>-6000000000</v>
          </cell>
          <cell r="Q310" t="str">
            <v>0401</v>
          </cell>
          <cell r="U310" t="str">
            <v>DN</v>
          </cell>
        </row>
        <row r="311">
          <cell r="H311" t="str">
            <v>01311033</v>
          </cell>
          <cell r="J311">
            <v>-12623028650</v>
          </cell>
          <cell r="Q311" t="str">
            <v>0402</v>
          </cell>
          <cell r="U311" t="str">
            <v>DN</v>
          </cell>
        </row>
        <row r="312">
          <cell r="H312" t="str">
            <v>26311001</v>
          </cell>
          <cell r="J312">
            <v>-75000000</v>
          </cell>
          <cell r="Q312" t="str">
            <v>0401</v>
          </cell>
          <cell r="U312" t="str">
            <v>CN</v>
          </cell>
        </row>
        <row r="313">
          <cell r="H313" t="str">
            <v>19311001</v>
          </cell>
          <cell r="J313">
            <v>-3000000000</v>
          </cell>
          <cell r="Q313" t="str">
            <v>0401</v>
          </cell>
          <cell r="U313" t="str">
            <v>DN</v>
          </cell>
        </row>
        <row r="314">
          <cell r="H314" t="str">
            <v>01311013</v>
          </cell>
          <cell r="J314">
            <v>-1012598444</v>
          </cell>
          <cell r="Q314" t="str">
            <v>0401</v>
          </cell>
          <cell r="U314" t="str">
            <v>DN</v>
          </cell>
        </row>
        <row r="315">
          <cell r="H315" t="str">
            <v>24311001</v>
          </cell>
          <cell r="J315">
            <v>0</v>
          </cell>
          <cell r="Q315" t="str">
            <v>0802</v>
          </cell>
          <cell r="U315" t="str">
            <v>DN</v>
          </cell>
        </row>
        <row r="316">
          <cell r="H316" t="str">
            <v>91311002</v>
          </cell>
          <cell r="J316">
            <v>0</v>
          </cell>
          <cell r="Q316" t="str">
            <v>0401</v>
          </cell>
          <cell r="U316" t="str">
            <v>CN</v>
          </cell>
        </row>
        <row r="317">
          <cell r="H317" t="str">
            <v>66311001</v>
          </cell>
          <cell r="J317">
            <v>0</v>
          </cell>
          <cell r="Q317" t="str">
            <v>0101</v>
          </cell>
          <cell r="U317" t="str">
            <v>CN</v>
          </cell>
        </row>
        <row r="318">
          <cell r="H318" t="str">
            <v>01311036</v>
          </cell>
          <cell r="J318">
            <v>0</v>
          </cell>
          <cell r="Q318" t="str">
            <v>0202</v>
          </cell>
          <cell r="U318" t="str">
            <v>CN</v>
          </cell>
        </row>
        <row r="319">
          <cell r="H319" t="str">
            <v>79311002</v>
          </cell>
          <cell r="J319">
            <v>0</v>
          </cell>
          <cell r="Q319" t="str">
            <v>0806</v>
          </cell>
          <cell r="U319" t="str">
            <v>CN</v>
          </cell>
        </row>
      </sheetData>
      <sheetData sheetId="3">
        <row r="1">
          <cell r="A1" t="str">
            <v>SBV</v>
          </cell>
          <cell r="B1" t="str">
            <v>MA_NGANH</v>
          </cell>
          <cell r="C1" t="str">
            <v>MA_PHAN_THEO_KH</v>
          </cell>
          <cell r="D1" t="str">
            <v>SOKH</v>
          </cell>
        </row>
        <row r="2">
          <cell r="A2" t="str">
            <v>01311003</v>
          </cell>
          <cell r="B2" t="str">
            <v>0501</v>
          </cell>
          <cell r="C2" t="str">
            <v>DN</v>
          </cell>
          <cell r="D2">
            <v>1</v>
          </cell>
        </row>
        <row r="3">
          <cell r="A3" t="str">
            <v>01311004</v>
          </cell>
          <cell r="B3" t="str">
            <v>0401</v>
          </cell>
          <cell r="C3" t="str">
            <v>DN</v>
          </cell>
          <cell r="D3">
            <v>1</v>
          </cell>
        </row>
        <row r="4">
          <cell r="A4" t="str">
            <v>01311005</v>
          </cell>
          <cell r="B4" t="str">
            <v>0401</v>
          </cell>
          <cell r="C4" t="str">
            <v>DN</v>
          </cell>
          <cell r="D4">
            <v>2</v>
          </cell>
        </row>
        <row r="5">
          <cell r="A5" t="str">
            <v>01311011</v>
          </cell>
          <cell r="B5" t="str">
            <v>0401</v>
          </cell>
          <cell r="C5" t="str">
            <v>DN</v>
          </cell>
          <cell r="D5">
            <v>1</v>
          </cell>
        </row>
        <row r="6">
          <cell r="A6" t="str">
            <v>01311011</v>
          </cell>
          <cell r="B6" t="str">
            <v>0402</v>
          </cell>
          <cell r="C6" t="str">
            <v>DN</v>
          </cell>
          <cell r="D6">
            <v>1</v>
          </cell>
        </row>
        <row r="7">
          <cell r="A7" t="str">
            <v>01311011</v>
          </cell>
          <cell r="B7" t="str">
            <v>0806</v>
          </cell>
          <cell r="C7" t="str">
            <v>CN</v>
          </cell>
          <cell r="D7">
            <v>1</v>
          </cell>
        </row>
        <row r="8">
          <cell r="A8" t="str">
            <v>01311012</v>
          </cell>
          <cell r="B8" t="str">
            <v>0202</v>
          </cell>
          <cell r="C8" t="str">
            <v>DN</v>
          </cell>
          <cell r="D8">
            <v>1</v>
          </cell>
        </row>
        <row r="9">
          <cell r="A9" t="str">
            <v>01311035</v>
          </cell>
          <cell r="B9" t="str">
            <v>0202</v>
          </cell>
          <cell r="C9" t="str">
            <v>CN</v>
          </cell>
          <cell r="D9">
            <v>1</v>
          </cell>
        </row>
        <row r="10">
          <cell r="A10" t="str">
            <v>01311037</v>
          </cell>
          <cell r="B10" t="str">
            <v>0202</v>
          </cell>
          <cell r="C10" t="str">
            <v>DN</v>
          </cell>
          <cell r="D10">
            <v>1</v>
          </cell>
        </row>
        <row r="11">
          <cell r="A11" t="str">
            <v>22311001</v>
          </cell>
          <cell r="B11" t="str">
            <v>0202</v>
          </cell>
          <cell r="C11" t="str">
            <v>DN</v>
          </cell>
          <cell r="D11">
            <v>1</v>
          </cell>
        </row>
        <row r="12">
          <cell r="A12" t="str">
            <v>22311001</v>
          </cell>
          <cell r="B12" t="str">
            <v>0402</v>
          </cell>
          <cell r="C12" t="str">
            <v>DN</v>
          </cell>
          <cell r="D12">
            <v>1</v>
          </cell>
        </row>
        <row r="13">
          <cell r="A13" t="str">
            <v>22311001</v>
          </cell>
          <cell r="B13" t="str">
            <v>0806</v>
          </cell>
          <cell r="C13" t="str">
            <v>CN</v>
          </cell>
          <cell r="D13">
            <v>1</v>
          </cell>
        </row>
        <row r="14">
          <cell r="A14" t="str">
            <v>24311001</v>
          </cell>
          <cell r="B14" t="str">
            <v>0202</v>
          </cell>
          <cell r="C14" t="str">
            <v>DN</v>
          </cell>
          <cell r="D14">
            <v>1</v>
          </cell>
        </row>
        <row r="15">
          <cell r="A15" t="str">
            <v>31311002</v>
          </cell>
          <cell r="B15" t="str">
            <v>0202</v>
          </cell>
          <cell r="C15" t="str">
            <v>DN</v>
          </cell>
          <cell r="D15">
            <v>1</v>
          </cell>
        </row>
        <row r="16">
          <cell r="A16" t="str">
            <v>37311001</v>
          </cell>
          <cell r="B16" t="str">
            <v>0202</v>
          </cell>
          <cell r="C16" t="str">
            <v>DN</v>
          </cell>
          <cell r="D16">
            <v>2</v>
          </cell>
        </row>
        <row r="17">
          <cell r="A17" t="str">
            <v>38311001</v>
          </cell>
          <cell r="B17" t="str">
            <v>0202</v>
          </cell>
          <cell r="C17" t="str">
            <v>DN</v>
          </cell>
          <cell r="D17">
            <v>1</v>
          </cell>
        </row>
        <row r="18">
          <cell r="A18" t="str">
            <v>45311001</v>
          </cell>
          <cell r="B18" t="str">
            <v>0202</v>
          </cell>
          <cell r="C18" t="str">
            <v>DN</v>
          </cell>
          <cell r="D18">
            <v>1</v>
          </cell>
        </row>
        <row r="19">
          <cell r="A19" t="str">
            <v>48311001</v>
          </cell>
          <cell r="B19" t="str">
            <v>0402</v>
          </cell>
          <cell r="C19" t="str">
            <v>DN</v>
          </cell>
          <cell r="D19">
            <v>1</v>
          </cell>
        </row>
        <row r="20">
          <cell r="A20" t="str">
            <v>48311001</v>
          </cell>
          <cell r="B20" t="str">
            <v>0806</v>
          </cell>
          <cell r="C20" t="str">
            <v>CN</v>
          </cell>
          <cell r="D20">
            <v>1</v>
          </cell>
        </row>
        <row r="21">
          <cell r="A21" t="str">
            <v>49311001</v>
          </cell>
          <cell r="B21" t="str">
            <v>0403</v>
          </cell>
          <cell r="C21" t="str">
            <v>DN</v>
          </cell>
          <cell r="D21">
            <v>6</v>
          </cell>
        </row>
        <row r="22">
          <cell r="A22" t="str">
            <v>49311001</v>
          </cell>
          <cell r="B22" t="str">
            <v>0806</v>
          </cell>
          <cell r="C22" t="str">
            <v>CN</v>
          </cell>
          <cell r="D22">
            <v>1</v>
          </cell>
        </row>
        <row r="23">
          <cell r="A23" t="str">
            <v>56311001</v>
          </cell>
          <cell r="B23" t="str">
            <v>0202</v>
          </cell>
          <cell r="C23" t="str">
            <v>CN</v>
          </cell>
          <cell r="D23">
            <v>1</v>
          </cell>
        </row>
        <row r="24">
          <cell r="A24" t="str">
            <v>56311001</v>
          </cell>
          <cell r="B24" t="str">
            <v>0806</v>
          </cell>
          <cell r="C24" t="str">
            <v>CN</v>
          </cell>
          <cell r="D24">
            <v>1</v>
          </cell>
        </row>
        <row r="25">
          <cell r="A25" t="str">
            <v>68311001</v>
          </cell>
          <cell r="B25" t="str">
            <v>0401</v>
          </cell>
          <cell r="C25" t="str">
            <v>DN</v>
          </cell>
          <cell r="D25">
            <v>1</v>
          </cell>
        </row>
        <row r="26">
          <cell r="A26" t="str">
            <v>77311001</v>
          </cell>
          <cell r="B26" t="str">
            <v>0401</v>
          </cell>
          <cell r="C26" t="str">
            <v>DN</v>
          </cell>
          <cell r="D26">
            <v>1</v>
          </cell>
        </row>
        <row r="27">
          <cell r="A27" t="str">
            <v>79311001</v>
          </cell>
          <cell r="B27" t="str">
            <v>0401</v>
          </cell>
          <cell r="C27" t="str">
            <v>CN</v>
          </cell>
          <cell r="D27">
            <v>1</v>
          </cell>
        </row>
        <row r="28">
          <cell r="A28" t="str">
            <v>79311005</v>
          </cell>
          <cell r="B28" t="str">
            <v>0401</v>
          </cell>
          <cell r="C28" t="str">
            <v>CN</v>
          </cell>
          <cell r="D28">
            <v>1</v>
          </cell>
        </row>
        <row r="29">
          <cell r="A29" t="str">
            <v>79311006</v>
          </cell>
          <cell r="B29" t="str">
            <v>0401</v>
          </cell>
          <cell r="C29" t="str">
            <v>DN</v>
          </cell>
          <cell r="D29">
            <v>1</v>
          </cell>
        </row>
        <row r="30">
          <cell r="A30" t="str">
            <v>79311006</v>
          </cell>
          <cell r="B30" t="str">
            <v>0402</v>
          </cell>
          <cell r="C30" t="str">
            <v>DN</v>
          </cell>
          <cell r="D30">
            <v>1</v>
          </cell>
        </row>
        <row r="31">
          <cell r="A31" t="str">
            <v>79311019</v>
          </cell>
          <cell r="B31" t="str">
            <v>0401</v>
          </cell>
          <cell r="C31" t="str">
            <v>DN</v>
          </cell>
          <cell r="D31">
            <v>1</v>
          </cell>
        </row>
        <row r="32">
          <cell r="A32" t="str">
            <v>79311020</v>
          </cell>
          <cell r="B32" t="str">
            <v>0806</v>
          </cell>
          <cell r="C32" t="str">
            <v>CN</v>
          </cell>
          <cell r="D32">
            <v>1</v>
          </cell>
        </row>
        <row r="33">
          <cell r="A33" t="str">
            <v>89311001</v>
          </cell>
          <cell r="B33" t="str">
            <v>0202</v>
          </cell>
          <cell r="C33" t="str">
            <v>DN</v>
          </cell>
          <cell r="D33">
            <v>1</v>
          </cell>
        </row>
      </sheetData>
      <sheetData sheetId="4">
        <row r="1">
          <cell r="A1" t="str">
            <v>MA_SBV</v>
          </cell>
          <cell r="B1" t="str">
            <v>MA_NGANH_TT31</v>
          </cell>
          <cell r="C1" t="str">
            <v>MA_PHAN_THEO_KH</v>
          </cell>
          <cell r="D1" t="str">
            <v>SOKH</v>
          </cell>
        </row>
        <row r="2">
          <cell r="A2" t="str">
            <v>01311013</v>
          </cell>
          <cell r="B2" t="str">
            <v>0401</v>
          </cell>
          <cell r="C2" t="str">
            <v>DN</v>
          </cell>
          <cell r="D2">
            <v>1</v>
          </cell>
        </row>
        <row r="3">
          <cell r="A3" t="str">
            <v>01311014</v>
          </cell>
          <cell r="B3" t="str">
            <v>0202</v>
          </cell>
          <cell r="C3" t="str">
            <v>DN</v>
          </cell>
          <cell r="D3">
            <v>1</v>
          </cell>
        </row>
        <row r="4">
          <cell r="A4" t="str">
            <v>01311033</v>
          </cell>
          <cell r="B4" t="str">
            <v>0402</v>
          </cell>
          <cell r="C4" t="str">
            <v>DN</v>
          </cell>
          <cell r="D4">
            <v>1</v>
          </cell>
        </row>
        <row r="5">
          <cell r="A5" t="str">
            <v>01311034</v>
          </cell>
          <cell r="B5" t="str">
            <v>0202</v>
          </cell>
          <cell r="C5" t="str">
            <v>CN</v>
          </cell>
          <cell r="D5">
            <v>1</v>
          </cell>
        </row>
        <row r="6">
          <cell r="A6" t="str">
            <v>10311001</v>
          </cell>
          <cell r="B6" t="str">
            <v>0401</v>
          </cell>
          <cell r="C6" t="str">
            <v>CN</v>
          </cell>
          <cell r="D6">
            <v>1</v>
          </cell>
        </row>
        <row r="7">
          <cell r="A7" t="str">
            <v>14311001</v>
          </cell>
          <cell r="B7" t="str">
            <v>0202</v>
          </cell>
          <cell r="C7" t="str">
            <v>CN</v>
          </cell>
          <cell r="D7">
            <v>1</v>
          </cell>
        </row>
        <row r="8">
          <cell r="A8" t="str">
            <v>19311001</v>
          </cell>
          <cell r="B8" t="str">
            <v>0401</v>
          </cell>
          <cell r="C8" t="str">
            <v>DN</v>
          </cell>
          <cell r="D8">
            <v>1</v>
          </cell>
        </row>
        <row r="9">
          <cell r="A9" t="str">
            <v>25311001</v>
          </cell>
          <cell r="B9" t="str">
            <v>0202</v>
          </cell>
          <cell r="C9" t="str">
            <v>CN</v>
          </cell>
          <cell r="D9">
            <v>1</v>
          </cell>
        </row>
        <row r="10">
          <cell r="A10" t="str">
            <v>26311001</v>
          </cell>
          <cell r="B10" t="str">
            <v>0401</v>
          </cell>
          <cell r="C10" t="str">
            <v>CN</v>
          </cell>
          <cell r="D10">
            <v>1</v>
          </cell>
        </row>
        <row r="11">
          <cell r="A11" t="str">
            <v>40311001</v>
          </cell>
          <cell r="B11" t="str">
            <v>0401</v>
          </cell>
          <cell r="C11" t="str">
            <v>DN</v>
          </cell>
          <cell r="D11">
            <v>1</v>
          </cell>
        </row>
        <row r="12">
          <cell r="A12" t="str">
            <v>48311001</v>
          </cell>
          <cell r="B12" t="str">
            <v>0401</v>
          </cell>
          <cell r="C12" t="str">
            <v>DN</v>
          </cell>
          <cell r="D12">
            <v>1</v>
          </cell>
        </row>
        <row r="13">
          <cell r="A13" t="str">
            <v>48311002</v>
          </cell>
          <cell r="B13" t="str">
            <v>0401</v>
          </cell>
          <cell r="C13" t="str">
            <v>DN</v>
          </cell>
          <cell r="D13">
            <v>1</v>
          </cell>
        </row>
        <row r="14">
          <cell r="A14" t="str">
            <v>56311002</v>
          </cell>
          <cell r="B14" t="str">
            <v>0401</v>
          </cell>
          <cell r="C14" t="str">
            <v>DN</v>
          </cell>
          <cell r="D14">
            <v>1</v>
          </cell>
        </row>
        <row r="15">
          <cell r="A15" t="str">
            <v>56311002</v>
          </cell>
          <cell r="B15" t="str">
            <v>0403</v>
          </cell>
          <cell r="C15" t="str">
            <v>DN</v>
          </cell>
          <cell r="D15">
            <v>1</v>
          </cell>
        </row>
        <row r="16">
          <cell r="A16" t="str">
            <v>60311001</v>
          </cell>
          <cell r="B16" t="str">
            <v>0401</v>
          </cell>
          <cell r="C16" t="str">
            <v>CN</v>
          </cell>
          <cell r="D16">
            <v>1</v>
          </cell>
        </row>
        <row r="17">
          <cell r="A17" t="str">
            <v>70311001</v>
          </cell>
          <cell r="B17" t="str">
            <v>0401</v>
          </cell>
          <cell r="C17" t="str">
            <v>DN</v>
          </cell>
          <cell r="D17">
            <v>2</v>
          </cell>
        </row>
        <row r="18">
          <cell r="A18" t="str">
            <v>72311001</v>
          </cell>
          <cell r="B18" t="str">
            <v>0401</v>
          </cell>
          <cell r="C18" t="str">
            <v>CN</v>
          </cell>
          <cell r="D18">
            <v>1</v>
          </cell>
        </row>
        <row r="19">
          <cell r="A19" t="str">
            <v>74311001</v>
          </cell>
          <cell r="B19" t="str">
            <v>0202</v>
          </cell>
          <cell r="C19" t="str">
            <v>DN</v>
          </cell>
          <cell r="D19">
            <v>1</v>
          </cell>
        </row>
        <row r="20">
          <cell r="A20" t="str">
            <v>74311003</v>
          </cell>
          <cell r="B20" t="str">
            <v>0202</v>
          </cell>
          <cell r="C20" t="str">
            <v>DN</v>
          </cell>
          <cell r="D20">
            <v>1</v>
          </cell>
        </row>
        <row r="21">
          <cell r="A21" t="str">
            <v>75311003</v>
          </cell>
          <cell r="B21" t="str">
            <v>0401</v>
          </cell>
          <cell r="C21" t="str">
            <v>DN</v>
          </cell>
          <cell r="D21">
            <v>1</v>
          </cell>
        </row>
        <row r="22">
          <cell r="A22" t="str">
            <v>79311001</v>
          </cell>
          <cell r="B22" t="str">
            <v>0401</v>
          </cell>
          <cell r="C22" t="str">
            <v>DN</v>
          </cell>
          <cell r="D22">
            <v>2</v>
          </cell>
        </row>
        <row r="23">
          <cell r="A23" t="str">
            <v>79311005</v>
          </cell>
          <cell r="B23" t="str">
            <v>0401</v>
          </cell>
          <cell r="C23" t="str">
            <v>DN</v>
          </cell>
          <cell r="D23">
            <v>2</v>
          </cell>
        </row>
        <row r="24">
          <cell r="A24" t="str">
            <v>79311006</v>
          </cell>
          <cell r="B24" t="str">
            <v>0401</v>
          </cell>
          <cell r="C24" t="str">
            <v>DN</v>
          </cell>
          <cell r="D24">
            <v>1</v>
          </cell>
        </row>
        <row r="25">
          <cell r="A25" t="str">
            <v>89311001</v>
          </cell>
          <cell r="B25" t="str">
            <v>0401</v>
          </cell>
          <cell r="C25" t="str">
            <v>CN</v>
          </cell>
          <cell r="D25">
            <v>1</v>
          </cell>
        </row>
        <row r="26">
          <cell r="A26" t="str">
            <v>96311001</v>
          </cell>
          <cell r="B26" t="str">
            <v>0401</v>
          </cell>
          <cell r="C26" t="str">
            <v>CN</v>
          </cell>
          <cell r="D26">
            <v>1</v>
          </cell>
        </row>
        <row r="27">
          <cell r="A27" t="str">
            <v>96311001</v>
          </cell>
          <cell r="B27" t="str">
            <v>0401</v>
          </cell>
          <cell r="C27" t="str">
            <v>DN</v>
          </cell>
          <cell r="D27">
            <v>1</v>
          </cell>
        </row>
      </sheetData>
    </sheetDataSet>
  </externalBook>
</externalLink>
</file>

<file path=xl/tables/table1.xml><?xml version="1.0" encoding="utf-8"?>
<table xmlns="http://schemas.openxmlformats.org/spreadsheetml/2006/main" id="1" name="Table1" displayName="Table1" ref="A1:C5" totalsRowShown="0" headerRowBorderDxfId="5" tableBorderDxfId="4" totalsRowBorderDxfId="3">
  <autoFilter ref="A1:C5"/>
  <tableColumns count="3">
    <tableColumn id="1" name="STT" dataDxfId="2"/>
    <tableColumn id="2" name="Parameter" dataDxfId="1"/>
    <tableColumn id="3" name="Value" dataDxfId="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49"/>
  <sheetViews>
    <sheetView topLeftCell="A26" workbookViewId="0">
      <selection activeCell="M22" sqref="M22"/>
    </sheetView>
  </sheetViews>
  <sheetFormatPr defaultRowHeight="14.4" x14ac:dyDescent="0.3"/>
  <sheetData>
    <row r="1" spans="1:13" ht="15" thickBot="1" x14ac:dyDescent="0.35">
      <c r="A1" s="1"/>
      <c r="B1" s="2"/>
      <c r="C1" s="3"/>
      <c r="D1" s="2"/>
      <c r="E1" s="2"/>
      <c r="F1" s="2"/>
      <c r="G1" s="2"/>
      <c r="H1" s="2"/>
      <c r="I1" s="2"/>
      <c r="J1" s="2"/>
      <c r="K1" s="2"/>
      <c r="L1" s="2"/>
      <c r="M1" s="2"/>
    </row>
    <row r="2" spans="1:13" ht="51.6" thickTop="1" x14ac:dyDescent="0.3">
      <c r="A2" s="1" t="s">
        <v>0</v>
      </c>
      <c r="B2" s="4" t="s">
        <v>1</v>
      </c>
      <c r="C2" s="18" t="str">
        <f xml:space="preserve"> "C00304-"&amp;C4&amp;"-01311001-"&amp;C5&amp;"-SI-M-01"&amp;".xlsx"</f>
        <v>C00304-83311001-01311001-202003-SI-M-01.xlsx</v>
      </c>
      <c r="D2" s="2"/>
      <c r="E2" s="2"/>
      <c r="F2" s="2"/>
      <c r="G2" s="2"/>
      <c r="H2" s="2"/>
      <c r="I2" s="2"/>
      <c r="J2" s="2"/>
      <c r="K2" s="2"/>
      <c r="L2" s="2"/>
      <c r="M2" s="2"/>
    </row>
    <row r="3" spans="1:13" x14ac:dyDescent="0.3">
      <c r="A3" s="1" t="s">
        <v>2</v>
      </c>
      <c r="B3" s="5" t="s">
        <v>3</v>
      </c>
      <c r="C3" s="18" t="s">
        <v>131</v>
      </c>
      <c r="D3" s="2"/>
      <c r="E3" s="2"/>
      <c r="F3" s="2"/>
      <c r="G3" s="2"/>
      <c r="H3" s="2"/>
      <c r="I3" s="2"/>
      <c r="J3" s="2"/>
      <c r="K3" s="2"/>
      <c r="L3" s="2"/>
      <c r="M3" s="2"/>
    </row>
    <row r="4" spans="1:13" x14ac:dyDescent="0.3">
      <c r="A4" s="1" t="s">
        <v>4</v>
      </c>
      <c r="B4" s="5" t="s">
        <v>5</v>
      </c>
      <c r="C4" s="18" t="s">
        <v>233</v>
      </c>
      <c r="D4" s="2"/>
      <c r="E4" s="2"/>
      <c r="F4" s="2"/>
      <c r="G4" s="2"/>
      <c r="H4" s="2"/>
      <c r="I4" s="2"/>
      <c r="J4" s="2"/>
      <c r="K4" s="2"/>
      <c r="L4" s="2"/>
      <c r="M4" s="2"/>
    </row>
    <row r="5" spans="1:13" x14ac:dyDescent="0.3">
      <c r="A5" s="1">
        <v>10</v>
      </c>
      <c r="B5" s="5" t="s">
        <v>6</v>
      </c>
      <c r="C5" s="18">
        <v>202003</v>
      </c>
      <c r="D5" s="2"/>
      <c r="E5" s="2"/>
      <c r="F5" s="2"/>
      <c r="G5" s="2"/>
      <c r="H5" s="2"/>
      <c r="I5" s="2"/>
      <c r="J5" s="2"/>
      <c r="K5" s="2"/>
      <c r="L5" s="2"/>
      <c r="M5" s="2"/>
    </row>
    <row r="6" spans="1:13" ht="30.6" x14ac:dyDescent="0.3">
      <c r="A6" s="1"/>
      <c r="B6" s="5" t="s">
        <v>7</v>
      </c>
      <c r="C6" s="18" t="s">
        <v>136</v>
      </c>
      <c r="D6" s="2"/>
      <c r="E6" s="2"/>
      <c r="F6" s="2"/>
      <c r="G6" s="2"/>
      <c r="H6" s="2"/>
      <c r="I6" s="2"/>
      <c r="J6" s="2"/>
      <c r="K6" s="2"/>
      <c r="L6" s="2"/>
      <c r="M6" s="2"/>
    </row>
    <row r="7" spans="1:13" ht="15" thickBot="1" x14ac:dyDescent="0.35">
      <c r="A7" s="1"/>
      <c r="B7" s="6" t="s">
        <v>8</v>
      </c>
      <c r="C7" s="18" t="s">
        <v>135</v>
      </c>
      <c r="D7" s="2"/>
      <c r="E7" s="2"/>
      <c r="F7" s="2"/>
      <c r="G7" s="2"/>
      <c r="H7" s="2"/>
      <c r="I7" s="2"/>
      <c r="J7" s="2"/>
      <c r="K7" s="2"/>
      <c r="L7" s="2"/>
      <c r="M7" s="2"/>
    </row>
    <row r="8" spans="1:13" ht="15" thickTop="1" x14ac:dyDescent="0.3">
      <c r="A8" s="1"/>
      <c r="B8" s="2"/>
      <c r="C8" s="3"/>
      <c r="D8" s="2"/>
      <c r="E8" s="2"/>
      <c r="F8" s="2"/>
      <c r="G8" s="2"/>
      <c r="H8" s="2"/>
      <c r="I8" s="2"/>
      <c r="J8" s="2"/>
      <c r="K8" s="2"/>
      <c r="L8" s="2"/>
      <c r="M8" s="2"/>
    </row>
    <row r="9" spans="1:13" x14ac:dyDescent="0.3">
      <c r="A9" s="1"/>
      <c r="B9" s="2"/>
      <c r="C9" s="3"/>
      <c r="D9" s="2"/>
      <c r="E9" s="2"/>
      <c r="F9" s="2"/>
      <c r="G9" s="2"/>
      <c r="H9" s="2"/>
      <c r="I9" s="2"/>
      <c r="J9" s="2"/>
      <c r="K9" s="2"/>
      <c r="L9" s="2"/>
      <c r="M9" s="7" t="s">
        <v>9</v>
      </c>
    </row>
    <row r="10" spans="1:13" x14ac:dyDescent="0.3">
      <c r="A10" s="1"/>
      <c r="B10" s="2"/>
      <c r="C10" s="3"/>
      <c r="D10" s="2"/>
      <c r="E10" s="2"/>
      <c r="F10" s="2"/>
      <c r="G10" s="2"/>
      <c r="H10" s="2"/>
      <c r="I10" s="2"/>
      <c r="J10" s="2"/>
      <c r="K10" s="2"/>
      <c r="L10" s="2"/>
      <c r="M10" s="2"/>
    </row>
    <row r="11" spans="1:13" ht="17.399999999999999" x14ac:dyDescent="0.3">
      <c r="A11" s="1"/>
      <c r="B11" s="30" t="s">
        <v>10</v>
      </c>
      <c r="C11" s="30"/>
      <c r="D11" s="30"/>
      <c r="E11" s="30"/>
      <c r="F11" s="30"/>
      <c r="G11" s="30"/>
      <c r="H11" s="30"/>
      <c r="I11" s="30"/>
      <c r="J11" s="30"/>
      <c r="K11" s="30"/>
      <c r="L11" s="30"/>
      <c r="M11" s="30"/>
    </row>
    <row r="12" spans="1:13" x14ac:dyDescent="0.3">
      <c r="A12" s="1"/>
      <c r="B12" s="31" t="s">
        <v>11</v>
      </c>
      <c r="C12" s="31"/>
      <c r="D12" s="31"/>
      <c r="E12" s="31"/>
      <c r="F12" s="31"/>
      <c r="G12" s="31"/>
      <c r="H12" s="31"/>
      <c r="I12" s="31"/>
      <c r="J12" s="31"/>
      <c r="K12" s="31"/>
      <c r="L12" s="31"/>
      <c r="M12" s="31"/>
    </row>
    <row r="13" spans="1:13" x14ac:dyDescent="0.3">
      <c r="A13" s="1"/>
      <c r="B13" s="32" t="s">
        <v>12</v>
      </c>
      <c r="C13" s="32"/>
      <c r="D13" s="32"/>
      <c r="E13" s="32"/>
      <c r="F13" s="32"/>
      <c r="G13" s="32"/>
      <c r="H13" s="32"/>
      <c r="I13" s="32"/>
      <c r="J13" s="32"/>
      <c r="K13" s="32"/>
      <c r="L13" s="32"/>
      <c r="M13" s="32"/>
    </row>
    <row r="14" spans="1:13" x14ac:dyDescent="0.3">
      <c r="A14" s="1"/>
      <c r="B14" s="33"/>
      <c r="C14" s="33"/>
      <c r="D14" s="33"/>
      <c r="E14" s="33"/>
      <c r="F14" s="33"/>
      <c r="G14" s="33"/>
      <c r="H14" s="33"/>
      <c r="I14" s="33"/>
      <c r="J14" s="33"/>
      <c r="K14" s="33"/>
      <c r="L14" s="33"/>
      <c r="M14" s="33"/>
    </row>
    <row r="15" spans="1:13" x14ac:dyDescent="0.3">
      <c r="A15" s="1"/>
      <c r="B15" s="2"/>
      <c r="C15" s="3"/>
      <c r="D15" s="8" t="s">
        <v>13</v>
      </c>
      <c r="E15" s="1" t="s">
        <v>14</v>
      </c>
      <c r="F15" s="1" t="s">
        <v>15</v>
      </c>
      <c r="G15" s="1" t="s">
        <v>16</v>
      </c>
      <c r="H15" s="1" t="s">
        <v>17</v>
      </c>
      <c r="I15" s="1" t="s">
        <v>18</v>
      </c>
      <c r="J15" s="1" t="s">
        <v>19</v>
      </c>
      <c r="K15" s="1" t="s">
        <v>20</v>
      </c>
      <c r="L15" s="1" t="s">
        <v>21</v>
      </c>
      <c r="M15" s="1" t="s">
        <v>22</v>
      </c>
    </row>
    <row r="16" spans="1:13" x14ac:dyDescent="0.3">
      <c r="A16" s="1"/>
      <c r="B16" s="34" t="s">
        <v>23</v>
      </c>
      <c r="C16" s="36" t="s">
        <v>24</v>
      </c>
      <c r="D16" s="36" t="s">
        <v>25</v>
      </c>
      <c r="E16" s="27" t="s">
        <v>26</v>
      </c>
      <c r="F16" s="28"/>
      <c r="G16" s="27" t="s">
        <v>27</v>
      </c>
      <c r="H16" s="38"/>
      <c r="I16" s="28"/>
      <c r="J16" s="27" t="s">
        <v>28</v>
      </c>
      <c r="K16" s="28"/>
      <c r="L16" s="27" t="s">
        <v>29</v>
      </c>
      <c r="M16" s="28"/>
    </row>
    <row r="17" spans="1:13" ht="165.6" x14ac:dyDescent="0.3">
      <c r="A17" s="1"/>
      <c r="B17" s="35"/>
      <c r="C17" s="37"/>
      <c r="D17" s="37"/>
      <c r="E17" s="9" t="s">
        <v>30</v>
      </c>
      <c r="F17" s="9" t="s">
        <v>31</v>
      </c>
      <c r="G17" s="9" t="s">
        <v>32</v>
      </c>
      <c r="H17" s="9" t="s">
        <v>33</v>
      </c>
      <c r="I17" s="9" t="s">
        <v>34</v>
      </c>
      <c r="J17" s="9" t="s">
        <v>35</v>
      </c>
      <c r="K17" s="9" t="s">
        <v>36</v>
      </c>
      <c r="L17" s="9" t="s">
        <v>37</v>
      </c>
      <c r="M17" s="9" t="s">
        <v>38</v>
      </c>
    </row>
    <row r="18" spans="1:13" x14ac:dyDescent="0.3">
      <c r="A18" s="1"/>
      <c r="B18" s="10"/>
      <c r="C18" s="11"/>
      <c r="D18" s="12" t="s">
        <v>39</v>
      </c>
      <c r="E18" s="13" t="s">
        <v>40</v>
      </c>
      <c r="F18" s="13" t="s">
        <v>41</v>
      </c>
      <c r="G18" s="13" t="s">
        <v>42</v>
      </c>
      <c r="H18" s="13" t="s">
        <v>43</v>
      </c>
      <c r="I18" s="13" t="s">
        <v>44</v>
      </c>
      <c r="J18" s="13" t="s">
        <v>45</v>
      </c>
      <c r="K18" s="13" t="s">
        <v>46</v>
      </c>
      <c r="L18" s="13" t="s">
        <v>47</v>
      </c>
      <c r="M18" s="13" t="s">
        <v>48</v>
      </c>
    </row>
    <row r="19" spans="1:13" ht="55.2" x14ac:dyDescent="0.3">
      <c r="A19" s="1" t="s">
        <v>49</v>
      </c>
      <c r="B19" s="14" t="s">
        <v>50</v>
      </c>
      <c r="C19" s="15" t="s">
        <v>51</v>
      </c>
      <c r="D19" s="26" t="e">
        <f>SUM(D20:D23)</f>
        <v>#VALUE!</v>
      </c>
      <c r="E19" s="25" t="e">
        <f>SUM(E20:E23)</f>
        <v>#VALUE!</v>
      </c>
      <c r="F19" s="25" t="e">
        <f t="shared" ref="F19:M19" si="0">SUM(F20:F23)</f>
        <v>#VALUE!</v>
      </c>
      <c r="G19" s="25">
        <f t="shared" si="0"/>
        <v>0</v>
      </c>
      <c r="H19" s="25">
        <f t="shared" si="0"/>
        <v>0</v>
      </c>
      <c r="I19" s="25">
        <f t="shared" si="0"/>
        <v>0</v>
      </c>
      <c r="J19" s="25" t="e">
        <f t="shared" si="0"/>
        <v>#VALUE!</v>
      </c>
      <c r="K19" s="25" t="e">
        <f t="shared" si="0"/>
        <v>#VALUE!</v>
      </c>
      <c r="L19" s="25" t="e">
        <f t="shared" si="0"/>
        <v>#VALUE!</v>
      </c>
      <c r="M19" s="25" t="e">
        <f t="shared" si="0"/>
        <v>#VALUE!</v>
      </c>
    </row>
    <row r="20" spans="1:13" x14ac:dyDescent="0.3">
      <c r="A20" s="1" t="s">
        <v>52</v>
      </c>
      <c r="B20" s="14" t="s">
        <v>53</v>
      </c>
      <c r="C20" s="15" t="s">
        <v>54</v>
      </c>
      <c r="D20" s="26" t="e">
        <f>ROUND(SUMIFS([1]NGANH_ANH_HUONG!$H:$H,[1]NGANH_ANH_HUONG!$U:$U,$C$4,[1]NGANH_ANH_HUONG!$W:$W,"=CN")/1000000000,0)</f>
        <v>#VALUE!</v>
      </c>
      <c r="E20" s="25" t="e">
        <f>ROUND(SUMIFS([1]DU_CO_CAU!$AB:$AB,[1]DU_CO_CAU!$P:$P,C4,[1]DU_CO_CAU!$I:$I,"=CN")/1000000000,0)</f>
        <v>#VALUE!</v>
      </c>
      <c r="F20" s="25" t="e">
        <f>SUMIFS([1]SO_KH_CCN!$D:$D,[1]SO_KH_CCN!$A:$A,$C$4,[1]SO_KH_CCN!$C:$C,"=CN")</f>
        <v>#VALUE!</v>
      </c>
      <c r="G20" s="25">
        <v>0</v>
      </c>
      <c r="H20" s="25">
        <v>0</v>
      </c>
      <c r="I20" s="25">
        <v>0</v>
      </c>
      <c r="J20" s="25" t="e">
        <f>SUM(E20,G20)</f>
        <v>#VALUE!</v>
      </c>
      <c r="K20" s="25" t="e">
        <f>SUM(F20,I20)</f>
        <v>#VALUE!</v>
      </c>
      <c r="L20" s="25" t="e">
        <f>-ROUND(SUMIFS([1]CHO_VAY_MOI!$J:$J,[1]CHO_VAY_MOI!$H:$H,$C$4,[1]CHO_VAY_MOI!$U:$U,"=CN")/1000000000,0)</f>
        <v>#VALUE!</v>
      </c>
      <c r="M20" s="25" t="e">
        <f>SUMIFS([1]SO_KH_CVM!$D:$D,[1]SO_KH_CVM!$A:$A,$C$4,[1]SO_KH_CVM!$C:$C,"=CN")</f>
        <v>#VALUE!</v>
      </c>
    </row>
    <row r="21" spans="1:13" ht="27.6" x14ac:dyDescent="0.3">
      <c r="A21" s="1" t="s">
        <v>55</v>
      </c>
      <c r="B21" s="14" t="s">
        <v>56</v>
      </c>
      <c r="C21" s="15" t="s">
        <v>57</v>
      </c>
      <c r="D21" s="26" t="e">
        <f>ROUND(SUMIFS([1]NGANH_ANH_HUONG!$H:$H,[1]NGANH_ANH_HUONG!$U:$U,$C$4,[1]NGANH_ANH_HUONG!$W:$W,"=DN")/1000000000,0)</f>
        <v>#VALUE!</v>
      </c>
      <c r="E21" s="25" t="e">
        <f>ROUND(SUMIFS([1]DU_CO_CAU!$AB:$AB,[1]DU_CO_CAU!$P:$P,$C$4,[1]DU_CO_CAU!$I:$I,"=DN")/1000000000,0)</f>
        <v>#VALUE!</v>
      </c>
      <c r="F21" s="25" t="e">
        <f>SUMIFS([1]SO_KH_CCN!$D:$D,[1]SO_KH_CCN!$A:$A,$C$4,[1]SO_KH_CCN!$C:$C,"=DN")</f>
        <v>#VALUE!</v>
      </c>
      <c r="G21" s="25">
        <v>0</v>
      </c>
      <c r="H21" s="25">
        <v>0</v>
      </c>
      <c r="I21" s="25">
        <v>0</v>
      </c>
      <c r="J21" s="25" t="e">
        <f t="shared" ref="J21:J23" si="1">SUM(E21,G21)</f>
        <v>#VALUE!</v>
      </c>
      <c r="K21" s="25" t="e">
        <f t="shared" ref="K21:K45" si="2">SUM(F21,I21)</f>
        <v>#VALUE!</v>
      </c>
      <c r="L21" s="25" t="e">
        <f>-ROUND(SUMIFS([1]CHO_VAY_MOI!$J:$J,[1]CHO_VAY_MOI!$H:$H,$C$4,[1]CHO_VAY_MOI!$U:$U,"=DN")/1000000000,0)</f>
        <v>#VALUE!</v>
      </c>
      <c r="M21" s="25" t="e">
        <f>SUMIFS([1]SO_KH_CVM!$D:$D,[1]SO_KH_CVM!$A:$A,$C$4,[1]SO_KH_CVM!$C:$C,"=DN")</f>
        <v>#VALUE!</v>
      </c>
    </row>
    <row r="22" spans="1:13" ht="55.2" x14ac:dyDescent="0.3">
      <c r="A22" s="1" t="s">
        <v>58</v>
      </c>
      <c r="B22" s="14" t="s">
        <v>39</v>
      </c>
      <c r="C22" s="15" t="s">
        <v>59</v>
      </c>
      <c r="D22" s="26" t="e">
        <f>ROUND(SUMIFS([1]NGANH_ANH_HUONG!$H:$H,[1]NGANH_ANH_HUONG!$U:$U,$C$4,[1]NGANH_ANH_HUONG!$W:$W,"=HTX")/1000000000,0)</f>
        <v>#VALUE!</v>
      </c>
      <c r="E22" s="25" t="e">
        <f>ROUND(SUMIFS([1]DU_CO_CAU!$AB:$AB,[1]DU_CO_CAU!$P:$P,$C$4,[1]DU_CO_CAU!$I:$I,"HTX")/1000000000,0)</f>
        <v>#VALUE!</v>
      </c>
      <c r="F22" s="25" t="e">
        <f>SUMIFS([1]SO_KH_CCN!$D:$D,[1]SO_KH_CCN!$A:$A,$C$4,[1]SO_KH_CCN!$C:$C,"=HTX")</f>
        <v>#VALUE!</v>
      </c>
      <c r="G22" s="25">
        <v>0</v>
      </c>
      <c r="H22" s="25">
        <v>0</v>
      </c>
      <c r="I22" s="25">
        <v>0</v>
      </c>
      <c r="J22" s="25" t="e">
        <f t="shared" si="1"/>
        <v>#VALUE!</v>
      </c>
      <c r="K22" s="25" t="e">
        <f t="shared" si="2"/>
        <v>#VALUE!</v>
      </c>
      <c r="L22" s="25" t="e">
        <f>-ROUND(SUMIFS([1]CHO_VAY_MOI!$J:$J,[1]CHO_VAY_MOI!$H:$H,$C$4,[1]CHO_VAY_MOI!$U:$U,"=HTX")/1000000000,0)</f>
        <v>#VALUE!</v>
      </c>
      <c r="M22" s="25" t="e">
        <f>SUMIFS([1]SO_KH_CVM!$D:$D,[1]SO_KH_CVM!$A:$A,$C$4,[1]SO_KH_CVM!$C:$C,"=HTX")</f>
        <v>#VALUE!</v>
      </c>
    </row>
    <row r="23" spans="1:13" x14ac:dyDescent="0.3">
      <c r="A23" s="1" t="s">
        <v>60</v>
      </c>
      <c r="B23" s="14" t="s">
        <v>40</v>
      </c>
      <c r="C23" s="15" t="s">
        <v>61</v>
      </c>
      <c r="D23" s="26" t="e">
        <f>ROUND(SUMIFS([1]NGANH_ANH_HUONG!$H:$H,[1]NGANH_ANH_HUONG!$U:$U,$C$4,[1]NGANH_ANH_HUONG!$W:$W,"=KHAC")/1000000000,0)</f>
        <v>#VALUE!</v>
      </c>
      <c r="E23" s="25" t="e">
        <f>ROUND(SUMIFS([1]DU_CO_CAU!$AB:$AB,[1]DU_CO_CAU!$P:$P,$C$4,[1]DU_CO_CAU!$I:$I,"KHAC")/1000000000,0)</f>
        <v>#VALUE!</v>
      </c>
      <c r="F23" s="25" t="e">
        <f>SUMIFS([1]SO_KH_CCN!$D:$D,[1]SO_KH_CCN!$A:$A,$C$4,[1]SO_KH_CCN!$C:$C,"=KHAC")</f>
        <v>#VALUE!</v>
      </c>
      <c r="G23" s="25">
        <v>0</v>
      </c>
      <c r="H23" s="25">
        <v>0</v>
      </c>
      <c r="I23" s="25">
        <v>0</v>
      </c>
      <c r="J23" s="25" t="e">
        <f t="shared" si="1"/>
        <v>#VALUE!</v>
      </c>
      <c r="K23" s="25" t="e">
        <f t="shared" si="2"/>
        <v>#VALUE!</v>
      </c>
      <c r="L23" s="25" t="e">
        <f>-ROUND(SUMIFS([1]CHO_VAY_MOI!$J:$J,[1]CHO_VAY_MOI!$H:$H,$C$4,[1]CHO_VAY_MOI!$U:$U,"=KHAC")/1000000000,0)</f>
        <v>#VALUE!</v>
      </c>
      <c r="M23" s="25" t="e">
        <f>SUMIFS([1]SO_KH_CVM!$D:$D,[1]SO_KH_CVM!$A:$A,$C$4,[1]SO_KH_CVM!$C:$C,"=KHAC")</f>
        <v>#VALUE!</v>
      </c>
    </row>
    <row r="24" spans="1:13" ht="55.2" x14ac:dyDescent="0.3">
      <c r="A24" s="1" t="s">
        <v>62</v>
      </c>
      <c r="B24" s="14" t="s">
        <v>63</v>
      </c>
      <c r="C24" s="15" t="s">
        <v>64</v>
      </c>
      <c r="D24" s="26" t="e">
        <f>D19</f>
        <v>#VALUE!</v>
      </c>
      <c r="E24" s="26" t="e">
        <f t="shared" ref="E24:L24" si="3">E19</f>
        <v>#VALUE!</v>
      </c>
      <c r="F24" s="26" t="e">
        <f>SUM(F25:F45)</f>
        <v>#VALUE!</v>
      </c>
      <c r="G24" s="26">
        <f t="shared" si="3"/>
        <v>0</v>
      </c>
      <c r="H24" s="26">
        <f t="shared" si="3"/>
        <v>0</v>
      </c>
      <c r="I24" s="26">
        <f t="shared" si="3"/>
        <v>0</v>
      </c>
      <c r="J24" s="26" t="e">
        <f t="shared" si="3"/>
        <v>#VALUE!</v>
      </c>
      <c r="K24" s="26" t="e">
        <f t="shared" si="3"/>
        <v>#VALUE!</v>
      </c>
      <c r="L24" s="26" t="e">
        <f t="shared" si="3"/>
        <v>#VALUE!</v>
      </c>
      <c r="M24" s="26" t="e">
        <f>SUM(M25:M45)</f>
        <v>#VALUE!</v>
      </c>
    </row>
    <row r="25" spans="1:13" ht="82.8" x14ac:dyDescent="0.3">
      <c r="A25" s="1" t="s">
        <v>65</v>
      </c>
      <c r="B25" s="14" t="s">
        <v>53</v>
      </c>
      <c r="C25" s="15" t="s">
        <v>66</v>
      </c>
      <c r="D25" s="26" t="e">
        <f>ROUND(SUMIFS([1]NGANH_ANH_HUONG!$H:$H,[1]NGANH_ANH_HUONG!$U:$U,$C$4,[1]NGANH_ANH_HUONG!$O:$O,"=0101")/1000000000,0)</f>
        <v>#VALUE!</v>
      </c>
      <c r="E25" s="25" t="e">
        <f>ROUND(SUMIFS([1]DU_CO_CAU!$AB:$AB,[1]DU_CO_CAU!$P:$P,$C$4,[1]DU_CO_CAU!$AC:$AC,"=0101")/1000000000,0)</f>
        <v>#VALUE!</v>
      </c>
      <c r="F25" s="25" t="e">
        <f>SUMIFS([1]SO_KH_CCN!$D:$D,[1]SO_KH_CCN!$A:$A,$C$4,[1]SO_KH_CCN!$B:$B,"=0101")</f>
        <v>#VALUE!</v>
      </c>
      <c r="G25" s="25">
        <v>0</v>
      </c>
      <c r="H25" s="25">
        <v>0</v>
      </c>
      <c r="I25" s="25">
        <v>0</v>
      </c>
      <c r="J25" s="25" t="e">
        <f>SUM(E25,G25)</f>
        <v>#VALUE!</v>
      </c>
      <c r="K25" s="25" t="e">
        <f t="shared" si="2"/>
        <v>#VALUE!</v>
      </c>
      <c r="L25" s="25" t="e">
        <f>-ROUND(SUMIFS([1]CHO_VAY_MOI!$J:$J,[1]CHO_VAY_MOI!$H:$H,$C$4,[1]CHO_VAY_MOI!$Q:$Q,"=0101")/1000000000,0)</f>
        <v>#VALUE!</v>
      </c>
      <c r="M25" s="25" t="e">
        <f>SUMIFS([1]SO_KH_CVM!$D:$D,[1]SO_KH_CVM!$A:$A,$C$4,[1]SO_KH_CVM!$B:$B,"=0101")</f>
        <v>#VALUE!</v>
      </c>
    </row>
    <row r="26" spans="1:13" ht="27.6" x14ac:dyDescent="0.3">
      <c r="A26" s="1" t="s">
        <v>67</v>
      </c>
      <c r="B26" s="14" t="s">
        <v>56</v>
      </c>
      <c r="C26" s="15" t="s">
        <v>68</v>
      </c>
      <c r="D26" s="26" t="e">
        <f>ROUND(SUMIFS([1]NGANH_ANH_HUONG!$H:$H,[1]NGANH_ANH_HUONG!$U:$U,$C$4,[1]NGANH_ANH_HUONG!$O:$O,"=0201")/1000000000,0)</f>
        <v>#VALUE!</v>
      </c>
      <c r="E26" s="25" t="e">
        <f>ROUND(SUMIFS([1]DU_CO_CAU!$AB:$AB,[1]DU_CO_CAU!$P:$P,$C$4,[1]DU_CO_CAU!$AC:$AC,"=0201")/1000000000,0)</f>
        <v>#VALUE!</v>
      </c>
      <c r="F26" s="25" t="e">
        <f>SUMIFS([1]SO_KH_CCN!$D:$D,[1]SO_KH_CCN!$A:$A,$C$4,[1]SO_KH_CCN!$B:$B,"=0201")</f>
        <v>#VALUE!</v>
      </c>
      <c r="G26" s="25">
        <v>0</v>
      </c>
      <c r="H26" s="25">
        <v>0</v>
      </c>
      <c r="I26" s="25">
        <v>0</v>
      </c>
      <c r="J26" s="25" t="e">
        <f t="shared" ref="J26:J45" si="4">SUM(E26,G26)</f>
        <v>#VALUE!</v>
      </c>
      <c r="K26" s="25" t="e">
        <f t="shared" si="2"/>
        <v>#VALUE!</v>
      </c>
      <c r="L26" s="25" t="e">
        <f>-ROUND(SUMIFS([1]CHO_VAY_MOI!$J:$J,[1]CHO_VAY_MOI!$H:$H,$C$4,[1]CHO_VAY_MOI!$Q:$Q,"=0201")/1000000000,0)</f>
        <v>#VALUE!</v>
      </c>
      <c r="M26" s="25" t="e">
        <f>SUMIFS([1]SO_KH_CVM!$D:$D,[1]SO_KH_CVM!$A:$A,$C$4,[1]SO_KH_CVM!$B:$B,"=0201")</f>
        <v>#VALUE!</v>
      </c>
    </row>
    <row r="27" spans="1:13" ht="55.2" x14ac:dyDescent="0.3">
      <c r="A27" s="1" t="s">
        <v>69</v>
      </c>
      <c r="B27" s="14" t="s">
        <v>39</v>
      </c>
      <c r="C27" s="15" t="s">
        <v>70</v>
      </c>
      <c r="D27" s="26" t="e">
        <f>ROUND(SUMIFS([1]NGANH_ANH_HUONG!$H:$H,[1]NGANH_ANH_HUONG!$U:$U,$C$4,[1]NGANH_ANH_HUONG!$O:$O,"=0202")/1000000000,0)</f>
        <v>#VALUE!</v>
      </c>
      <c r="E27" s="25" t="e">
        <f>ROUND(SUMIFS([1]DU_CO_CAU!$AB:$AB,[1]DU_CO_CAU!$P:$P,$C$4,[1]DU_CO_CAU!$AC:$AC,"=0202")/1000000000,0)</f>
        <v>#VALUE!</v>
      </c>
      <c r="F27" s="25" t="e">
        <f>SUMIFS([1]SO_KH_CCN!$D:$D,[1]SO_KH_CCN!$A:$A,$C$4,[1]SO_KH_CCN!$B:$B,"=0202")</f>
        <v>#VALUE!</v>
      </c>
      <c r="G27" s="25">
        <v>0</v>
      </c>
      <c r="H27" s="25">
        <v>0</v>
      </c>
      <c r="I27" s="25">
        <v>0</v>
      </c>
      <c r="J27" s="25" t="e">
        <f t="shared" si="4"/>
        <v>#VALUE!</v>
      </c>
      <c r="K27" s="25" t="e">
        <f t="shared" si="2"/>
        <v>#VALUE!</v>
      </c>
      <c r="L27" s="25" t="e">
        <f>-ROUND(SUMIFS([1]CHO_VAY_MOI!$J:$J,[1]CHO_VAY_MOI!$H:$H,$C$4,[1]CHO_VAY_MOI!$Q:$Q,"=0202")/1000000000,0)</f>
        <v>#VALUE!</v>
      </c>
      <c r="M27" s="25" t="e">
        <f>SUMIFS([1]SO_KH_CVM!$D:$D,[1]SO_KH_CVM!$A:$A,$C$4,[1]SO_KH_CVM!$B:$B,"=0202")</f>
        <v>#VALUE!</v>
      </c>
    </row>
    <row r="28" spans="1:13" ht="165.6" x14ac:dyDescent="0.3">
      <c r="A28" s="1" t="s">
        <v>71</v>
      </c>
      <c r="B28" s="14" t="s">
        <v>40</v>
      </c>
      <c r="C28" s="15" t="s">
        <v>72</v>
      </c>
      <c r="D28" s="26" t="e">
        <f>ROUND(SUMIFS([1]NGANH_ANH_HUONG!$H:$H,[1]NGANH_ANH_HUONG!$U:$U,$C$4,[1]NGANH_ANH_HUONG!$O:$O,"=0203")/1000000000,0)</f>
        <v>#VALUE!</v>
      </c>
      <c r="E28" s="25" t="e">
        <f>ROUND(SUMIFS([1]DU_CO_CAU!$AB:$AB,[1]DU_CO_CAU!$P:$P,$C$4,[1]DU_CO_CAU!$AC:$AC,"=0203")/1000000000,0)</f>
        <v>#VALUE!</v>
      </c>
      <c r="F28" s="25" t="e">
        <f>SUMIFS([1]SO_KH_CCN!$D:$D,[1]SO_KH_CCN!$A:$A,$C$4,[1]SO_KH_CCN!$B:$B,"=0203")</f>
        <v>#VALUE!</v>
      </c>
      <c r="G28" s="25">
        <v>0</v>
      </c>
      <c r="H28" s="25">
        <v>0</v>
      </c>
      <c r="I28" s="25">
        <v>0</v>
      </c>
      <c r="J28" s="25" t="e">
        <f t="shared" si="4"/>
        <v>#VALUE!</v>
      </c>
      <c r="K28" s="25" t="e">
        <f t="shared" si="2"/>
        <v>#VALUE!</v>
      </c>
      <c r="L28" s="25" t="e">
        <f>-ROUND(SUMIFS([1]CHO_VAY_MOI!$J:$J,[1]CHO_VAY_MOI!$H:$H,$C$4,[1]CHO_VAY_MOI!$Q:$Q,"=0203")/1000000000,0)</f>
        <v>#VALUE!</v>
      </c>
      <c r="M28" s="25" t="e">
        <f>SUMIFS([1]SO_KH_CVM!$D:$D,[1]SO_KH_CVM!$A:$A,$C$4,[1]SO_KH_CVM!$B:$B,"=0203")</f>
        <v>#VALUE!</v>
      </c>
    </row>
    <row r="29" spans="1:13" ht="138" x14ac:dyDescent="0.3">
      <c r="A29" s="1" t="s">
        <v>73</v>
      </c>
      <c r="B29" s="14" t="s">
        <v>41</v>
      </c>
      <c r="C29" s="15" t="s">
        <v>74</v>
      </c>
      <c r="D29" s="26" t="e">
        <f>ROUND(SUMIFS([1]NGANH_ANH_HUONG!$H:$H,[1]NGANH_ANH_HUONG!$U:$U,$C$4,[1]NGANH_ANH_HUONG!$O:$O,"=0204")/1000000000,0)</f>
        <v>#VALUE!</v>
      </c>
      <c r="E29" s="25" t="e">
        <f>ROUND(SUMIFS([1]DU_CO_CAU!$AB:$AB,[1]DU_CO_CAU!$P:$P,$C$4,[1]DU_CO_CAU!$AC:$AC,"=0204")/1000000000,0)</f>
        <v>#VALUE!</v>
      </c>
      <c r="F29" s="25" t="e">
        <f>SUMIFS([1]SO_KH_CCN!$D:$D,[1]SO_KH_CCN!$A:$A,$C$4,[1]SO_KH_CCN!$B:$B,"=0204")</f>
        <v>#VALUE!</v>
      </c>
      <c r="G29" s="25">
        <v>0</v>
      </c>
      <c r="H29" s="25">
        <v>0</v>
      </c>
      <c r="I29" s="25">
        <v>0</v>
      </c>
      <c r="J29" s="25" t="e">
        <f t="shared" si="4"/>
        <v>#VALUE!</v>
      </c>
      <c r="K29" s="25" t="e">
        <f t="shared" si="2"/>
        <v>#VALUE!</v>
      </c>
      <c r="L29" s="25" t="e">
        <f>-ROUND(SUMIFS([1]CHO_VAY_MOI!$J:$J,[1]CHO_VAY_MOI!$H:$H,$C$4,[1]CHO_VAY_MOI!$Q:$Q,"=0204")/1000000000,0)</f>
        <v>#VALUE!</v>
      </c>
      <c r="M29" s="25" t="e">
        <f>SUMIFS([1]SO_KH_CVM!$D:$D,[1]SO_KH_CVM!$A:$A,$C$4,[1]SO_KH_CVM!$B:$B,"=0204")</f>
        <v>#VALUE!</v>
      </c>
    </row>
    <row r="30" spans="1:13" ht="27.6" x14ac:dyDescent="0.3">
      <c r="A30" s="1" t="s">
        <v>75</v>
      </c>
      <c r="B30" s="14" t="s">
        <v>42</v>
      </c>
      <c r="C30" s="15" t="s">
        <v>76</v>
      </c>
      <c r="D30" s="26" t="e">
        <f>ROUND(SUMIFS([1]NGANH_ANH_HUONG!$H:$H,[1]NGANH_ANH_HUONG!$U:$U,$C$4,[1]NGANH_ANH_HUONG!$O:$O,"=0301")/1000000000,0)</f>
        <v>#VALUE!</v>
      </c>
      <c r="E30" s="25" t="e">
        <f>ROUND(SUMIFS([1]DU_CO_CAU!$AB:$AB,[1]DU_CO_CAU!$P:$P,$C$4,[1]DU_CO_CAU!$AC:$AC,"=0301")/1000000000,0)</f>
        <v>#VALUE!</v>
      </c>
      <c r="F30" s="25" t="e">
        <f>SUMIFS([1]SO_KH_CCN!$D:$D,[1]SO_KH_CCN!$A:$A,$C$4,[1]SO_KH_CCN!$B:$B,"=0301")</f>
        <v>#VALUE!</v>
      </c>
      <c r="G30" s="25">
        <v>0</v>
      </c>
      <c r="H30" s="25">
        <v>0</v>
      </c>
      <c r="I30" s="25">
        <v>0</v>
      </c>
      <c r="J30" s="25" t="e">
        <f t="shared" si="4"/>
        <v>#VALUE!</v>
      </c>
      <c r="K30" s="25" t="e">
        <f t="shared" si="2"/>
        <v>#VALUE!</v>
      </c>
      <c r="L30" s="25" t="e">
        <f>-ROUND(SUMIFS([1]CHO_VAY_MOI!$J:$J,[1]CHO_VAY_MOI!$H:$H,$C$4,[1]CHO_VAY_MOI!$Q:$Q,"=0301")/1000000000,0)</f>
        <v>#VALUE!</v>
      </c>
      <c r="M30" s="25" t="e">
        <f>SUMIFS([1]SO_KH_CVM!$D:$D,[1]SO_KH_CVM!$A:$A,$C$4,[1]SO_KH_CVM!$B:$B,"=0301")</f>
        <v>#VALUE!</v>
      </c>
    </row>
    <row r="31" spans="1:13" ht="138" x14ac:dyDescent="0.3">
      <c r="A31" s="1" t="s">
        <v>77</v>
      </c>
      <c r="B31" s="14" t="s">
        <v>43</v>
      </c>
      <c r="C31" s="15" t="s">
        <v>78</v>
      </c>
      <c r="D31" s="26" t="e">
        <f>D24-SUM(D25:D30)-SUM(D32:D45)</f>
        <v>#VALUE!</v>
      </c>
      <c r="E31" s="26" t="e">
        <f t="shared" ref="E31" si="5">E24-SUM(E25:E30)-SUM(E32:E45)</f>
        <v>#VALUE!</v>
      </c>
      <c r="F31" s="25" t="e">
        <f>SUMIFS([1]SO_KH_CCN!$D:$D,[1]SO_KH_CCN!$A:$A,$C$4,[1]SO_KH_CCN!$B:$B,"=0401")</f>
        <v>#VALUE!</v>
      </c>
      <c r="G31" s="25">
        <v>0</v>
      </c>
      <c r="H31" s="25">
        <v>0</v>
      </c>
      <c r="I31" s="25">
        <v>0</v>
      </c>
      <c r="J31" s="25" t="e">
        <f t="shared" si="4"/>
        <v>#VALUE!</v>
      </c>
      <c r="K31" s="25" t="e">
        <f t="shared" si="2"/>
        <v>#VALUE!</v>
      </c>
      <c r="L31" s="25" t="e">
        <f>-ROUND(SUMIFS([1]CHO_VAY_MOI!$J:$J,[1]CHO_VAY_MOI!$H:$H,$C$4,[1]CHO_VAY_MOI!$Q:$Q,"=0401")/1000000000,0)</f>
        <v>#VALUE!</v>
      </c>
      <c r="M31" s="25" t="e">
        <f>SUMIFS([1]SO_KH_CVM!$D:$D,[1]SO_KH_CVM!$A:$A,$C$4,[1]SO_KH_CVM!$B:$B,"=0401")</f>
        <v>#VALUE!</v>
      </c>
    </row>
    <row r="32" spans="1:13" ht="27.6" x14ac:dyDescent="0.3">
      <c r="A32" s="1" t="s">
        <v>79</v>
      </c>
      <c r="B32" s="14" t="s">
        <v>44</v>
      </c>
      <c r="C32" s="15" t="s">
        <v>80</v>
      </c>
      <c r="D32" s="26" t="e">
        <f>ROUND(SUMIFS([1]NGANH_ANH_HUONG!$H:$H,[1]NGANH_ANH_HUONG!$U:$U,$C$4,[1]NGANH_ANH_HUONG!$O:$O,"=0402")/1000000000,0)</f>
        <v>#VALUE!</v>
      </c>
      <c r="E32" s="25" t="e">
        <f>ROUND(SUMIFS([1]DU_CO_CAU!$AB:$AB,[1]DU_CO_CAU!$P:$P,$C$4,[1]DU_CO_CAU!$AC:$AC,"=0402")/1000000000,0)</f>
        <v>#VALUE!</v>
      </c>
      <c r="F32" s="25" t="e">
        <f>SUMIFS([1]SO_KH_CCN!$D:$D,[1]SO_KH_CCN!$A:$A,$C$4,[1]SO_KH_CCN!$B:$B,"=0402")</f>
        <v>#VALUE!</v>
      </c>
      <c r="G32" s="25">
        <v>0</v>
      </c>
      <c r="H32" s="25">
        <v>0</v>
      </c>
      <c r="I32" s="25">
        <v>0</v>
      </c>
      <c r="J32" s="25" t="e">
        <f t="shared" si="4"/>
        <v>#VALUE!</v>
      </c>
      <c r="K32" s="25" t="e">
        <f t="shared" si="2"/>
        <v>#VALUE!</v>
      </c>
      <c r="L32" s="25" t="e">
        <f>-ROUND(SUMIFS([1]CHO_VAY_MOI!$J:$J,[1]CHO_VAY_MOI!$H:$H,$C$4,[1]CHO_VAY_MOI!$Q:$Q,"=0402")/1000000000,0)</f>
        <v>#VALUE!</v>
      </c>
      <c r="M32" s="25" t="e">
        <f>SUMIFS([1]SO_KH_CVM!$D:$D,[1]SO_KH_CVM!$A:$A,$C$4,[1]SO_KH_CVM!$B:$B,"=0402")</f>
        <v>#VALUE!</v>
      </c>
    </row>
    <row r="33" spans="1:13" ht="55.2" x14ac:dyDescent="0.3">
      <c r="A33" s="1" t="s">
        <v>81</v>
      </c>
      <c r="B33" s="14" t="s">
        <v>45</v>
      </c>
      <c r="C33" s="15" t="s">
        <v>82</v>
      </c>
      <c r="D33" s="26" t="e">
        <f>ROUND(SUMIFS([1]NGANH_ANH_HUONG!$H:$H,[1]NGANH_ANH_HUONG!$U:$U,$C$4,[1]NGANH_ANH_HUONG!$O:$O,"=0403")/1000000000,0)</f>
        <v>#VALUE!</v>
      </c>
      <c r="E33" s="25" t="e">
        <f>ROUND(SUMIFS([1]DU_CO_CAU!$AB:$AB,[1]DU_CO_CAU!$P:$P,$C$4,[1]DU_CO_CAU!$AC:$AC,"=0403")/1000000000,0)</f>
        <v>#VALUE!</v>
      </c>
      <c r="F33" s="25" t="e">
        <f>SUMIFS([1]SO_KH_CCN!$D:$D,[1]SO_KH_CCN!$A:$A,$C$4,[1]SO_KH_CCN!$B:$B,"=0403")</f>
        <v>#VALUE!</v>
      </c>
      <c r="G33" s="25">
        <v>0</v>
      </c>
      <c r="H33" s="25">
        <v>0</v>
      </c>
      <c r="I33" s="25">
        <v>0</v>
      </c>
      <c r="J33" s="25" t="e">
        <f t="shared" si="4"/>
        <v>#VALUE!</v>
      </c>
      <c r="K33" s="25" t="e">
        <f t="shared" si="2"/>
        <v>#VALUE!</v>
      </c>
      <c r="L33" s="25" t="e">
        <f>-ROUND(SUMIFS([1]CHO_VAY_MOI!$J:$J,[1]CHO_VAY_MOI!$H:$H,$C$4,[1]CHO_VAY_MOI!$Q:$Q,"=0403")/1000000000,0)</f>
        <v>#VALUE!</v>
      </c>
      <c r="M33" s="25" t="e">
        <f>SUMIFS([1]SO_KH_CVM!$D:$D,[1]SO_KH_CVM!$A:$A,$C$4,[1]SO_KH_CVM!$B:$B,"=0403")</f>
        <v>#VALUE!</v>
      </c>
    </row>
    <row r="34" spans="1:13" ht="55.2" x14ac:dyDescent="0.3">
      <c r="A34" s="1" t="s">
        <v>83</v>
      </c>
      <c r="B34" s="14" t="s">
        <v>46</v>
      </c>
      <c r="C34" s="15" t="s">
        <v>84</v>
      </c>
      <c r="D34" s="26" t="e">
        <f>ROUND(SUMIFS([1]NGANH_ANH_HUONG!$H:$H,[1]NGANH_ANH_HUONG!$U:$U,$C$4,[1]NGANH_ANH_HUONG!$O:$O,"=0501")/1000000000,0)</f>
        <v>#VALUE!</v>
      </c>
      <c r="E34" s="25" t="e">
        <f>ROUND(SUMIFS([1]DU_CO_CAU!$AB:$AB,[1]DU_CO_CAU!$P:$P,$C$4,[1]DU_CO_CAU!$AC:$AC,"=0501")/1000000000,0)</f>
        <v>#VALUE!</v>
      </c>
      <c r="F34" s="25" t="e">
        <f>SUMIFS([1]SO_KH_CCN!$D:$D,[1]SO_KH_CCN!$A:$A,$C$4,[1]SO_KH_CCN!$B:$B,"=0501")</f>
        <v>#VALUE!</v>
      </c>
      <c r="G34" s="25">
        <v>0</v>
      </c>
      <c r="H34" s="25">
        <v>0</v>
      </c>
      <c r="I34" s="25">
        <v>0</v>
      </c>
      <c r="J34" s="25" t="e">
        <f t="shared" si="4"/>
        <v>#VALUE!</v>
      </c>
      <c r="K34" s="25" t="e">
        <f t="shared" si="2"/>
        <v>#VALUE!</v>
      </c>
      <c r="L34" s="25" t="e">
        <f>-ROUND(SUMIFS([1]CHO_VAY_MOI!$J:$J,[1]CHO_VAY_MOI!$H:$H,$C$4,[1]CHO_VAY_MOI!$Q:$Q,"=0501")/1000000000,0)</f>
        <v>#VALUE!</v>
      </c>
      <c r="M34" s="25" t="e">
        <f>SUMIFS([1]SO_KH_CVM!$D:$D,[1]SO_KH_CVM!$A:$A,$C$4,[1]SO_KH_CVM!$B:$B,"=0501")</f>
        <v>#VALUE!</v>
      </c>
    </row>
    <row r="35" spans="1:13" ht="96.6" x14ac:dyDescent="0.3">
      <c r="A35" s="1" t="s">
        <v>85</v>
      </c>
      <c r="B35" s="14" t="s">
        <v>47</v>
      </c>
      <c r="C35" s="15" t="s">
        <v>86</v>
      </c>
      <c r="D35" s="26" t="e">
        <f>ROUND(SUMIFS([1]NGANH_ANH_HUONG!$H:$H,[1]NGANH_ANH_HUONG!$U:$U,$C$4,[1]NGANH_ANH_HUONG!$O:$O,"=0601")/1000000000,0)</f>
        <v>#VALUE!</v>
      </c>
      <c r="E35" s="25" t="e">
        <f>ROUND(SUMIFS([1]DU_CO_CAU!$AB:$AB,[1]DU_CO_CAU!$P:$P,$C$4,[1]DU_CO_CAU!$AC:$AC,"=0601")/1000000000,0)</f>
        <v>#VALUE!</v>
      </c>
      <c r="F35" s="25" t="e">
        <f>SUMIFS([1]SO_KH_CCN!$D:$D,[1]SO_KH_CCN!$A:$A,$C$4,[1]SO_KH_CCN!$B:$B,"=0601")</f>
        <v>#VALUE!</v>
      </c>
      <c r="G35" s="25">
        <v>0</v>
      </c>
      <c r="H35" s="25">
        <v>0</v>
      </c>
      <c r="I35" s="25">
        <v>0</v>
      </c>
      <c r="J35" s="25" t="e">
        <f t="shared" si="4"/>
        <v>#VALUE!</v>
      </c>
      <c r="K35" s="25" t="e">
        <f t="shared" si="2"/>
        <v>#VALUE!</v>
      </c>
      <c r="L35" s="25" t="e">
        <f>-ROUND(SUMIFS([1]CHO_VAY_MOI!$J:$J,[1]CHO_VAY_MOI!$H:$H,$C$4,[1]CHO_VAY_MOI!$Q:$Q,"=0601")/1000000000,0)</f>
        <v>#VALUE!</v>
      </c>
      <c r="M35" s="25" t="e">
        <f>SUMIFS([1]SO_KH_CVM!$D:$D,[1]SO_KH_CVM!$A:$A,$C$4,[1]SO_KH_CVM!$B:$B,"=0601")</f>
        <v>#VALUE!</v>
      </c>
    </row>
    <row r="36" spans="1:13" ht="82.8" x14ac:dyDescent="0.3">
      <c r="A36" s="1" t="s">
        <v>87</v>
      </c>
      <c r="B36" s="14" t="s">
        <v>48</v>
      </c>
      <c r="C36" s="15" t="s">
        <v>88</v>
      </c>
      <c r="D36" s="26" t="e">
        <f>ROUND(SUMIFS([1]NGANH_ANH_HUONG!$H:$H,[1]NGANH_ANH_HUONG!$U:$U,$C$4,[1]NGANH_ANH_HUONG!$O:$O,"=0602")/1000000000,0)</f>
        <v>#VALUE!</v>
      </c>
      <c r="E36" s="25" t="e">
        <f>ROUND(SUMIFS([1]DU_CO_CAU!$AB:$AB,[1]DU_CO_CAU!$P:$P,$C$4,[1]DU_CO_CAU!$AC:$AC,"=0601")/1000000000,0)</f>
        <v>#VALUE!</v>
      </c>
      <c r="F36" s="25" t="e">
        <f>SUMIFS([1]SO_KH_CCN!$D:$D,[1]SO_KH_CCN!$A:$A,$C$4,[1]SO_KH_CCN!$B:$B,"=0602")</f>
        <v>#VALUE!</v>
      </c>
      <c r="G36" s="25">
        <v>0</v>
      </c>
      <c r="H36" s="25">
        <v>0</v>
      </c>
      <c r="I36" s="25">
        <v>0</v>
      </c>
      <c r="J36" s="25" t="e">
        <f t="shared" si="4"/>
        <v>#VALUE!</v>
      </c>
      <c r="K36" s="25" t="e">
        <f t="shared" si="2"/>
        <v>#VALUE!</v>
      </c>
      <c r="L36" s="25" t="e">
        <f>-ROUND(SUMIFS([1]CHO_VAY_MOI!$J:$J,[1]CHO_VAY_MOI!$H:$H,$C$4,[1]CHO_VAY_MOI!$Q:$Q,"=0602")/1000000000,0)</f>
        <v>#VALUE!</v>
      </c>
      <c r="M36" s="25" t="e">
        <f>SUMIFS([1]SO_KH_CVM!$D:$D,[1]SO_KH_CVM!$A:$A,$C$4,[1]SO_KH_CVM!$B:$B,"=0602")</f>
        <v>#VALUE!</v>
      </c>
    </row>
    <row r="37" spans="1:13" ht="110.4" x14ac:dyDescent="0.3">
      <c r="A37" s="1" t="s">
        <v>89</v>
      </c>
      <c r="B37" s="14" t="s">
        <v>90</v>
      </c>
      <c r="C37" s="15" t="s">
        <v>91</v>
      </c>
      <c r="D37" s="26" t="e">
        <f>ROUND(SUMIFS([1]NGANH_ANH_HUONG!$H:$H,[1]NGANH_ANH_HUONG!$U:$U,$C$4,[1]NGANH_ANH_HUONG!$O:$O,"=0701")/1000000000,0)</f>
        <v>#VALUE!</v>
      </c>
      <c r="E37" s="25" t="e">
        <f>ROUND(SUMIFS([1]DU_CO_CAU!$AB:$AB,[1]DU_CO_CAU!$P:$P,$C$4,[1]DU_CO_CAU!$AC:$AC,"=0701")/1000000000,0)</f>
        <v>#VALUE!</v>
      </c>
      <c r="F37" s="25" t="e">
        <f>SUMIFS([1]SO_KH_CCN!$D:$D,[1]SO_KH_CCN!$A:$A,$C$4,[1]SO_KH_CCN!$B:$B,"=0701")</f>
        <v>#VALUE!</v>
      </c>
      <c r="G37" s="25">
        <v>0</v>
      </c>
      <c r="H37" s="25">
        <v>0</v>
      </c>
      <c r="I37" s="25">
        <v>0</v>
      </c>
      <c r="J37" s="25" t="e">
        <f t="shared" si="4"/>
        <v>#VALUE!</v>
      </c>
      <c r="K37" s="25" t="e">
        <f t="shared" si="2"/>
        <v>#VALUE!</v>
      </c>
      <c r="L37" s="25" t="e">
        <f>-ROUND(SUMIFS([1]CHO_VAY_MOI!$J:$J,[1]CHO_VAY_MOI!$H:$H,$C$4,[1]CHO_VAY_MOI!$Q:$Q,"=0701")/1000000000,0)</f>
        <v>#VALUE!</v>
      </c>
      <c r="M37" s="25" t="e">
        <f>SUMIFS([1]SO_KH_CVM!$D:$D,[1]SO_KH_CVM!$A:$A,$C$4,[1]SO_KH_CVM!$B:$B,"=0701")</f>
        <v>#VALUE!</v>
      </c>
    </row>
    <row r="38" spans="1:13" ht="82.8" x14ac:dyDescent="0.3">
      <c r="A38" s="1" t="s">
        <v>92</v>
      </c>
      <c r="B38" s="14" t="s">
        <v>93</v>
      </c>
      <c r="C38" s="15" t="s">
        <v>94</v>
      </c>
      <c r="D38" s="26" t="e">
        <f>ROUND(SUMIFS([1]NGANH_ANH_HUONG!$H:$H,[1]NGANH_ANH_HUONG!$U:$U,$C$4,[1]NGANH_ANH_HUONG!$O:$O,"=0702")/1000000000,0)</f>
        <v>#VALUE!</v>
      </c>
      <c r="E38" s="25" t="e">
        <f>ROUND(SUMIFS([1]DU_CO_CAU!$AB:$AB,[1]DU_CO_CAU!$P:$P,$C$4,[1]DU_CO_CAU!$AC:$AC,"=0702")/1000000000,0)</f>
        <v>#VALUE!</v>
      </c>
      <c r="F38" s="25" t="e">
        <f>SUMIFS([1]SO_KH_CCN!$D:$D,[1]SO_KH_CCN!$A:$A,$C$4,[1]SO_KH_CCN!$B:$B,"=0702")</f>
        <v>#VALUE!</v>
      </c>
      <c r="G38" s="25">
        <v>0</v>
      </c>
      <c r="H38" s="25">
        <v>0</v>
      </c>
      <c r="I38" s="25">
        <v>0</v>
      </c>
      <c r="J38" s="25" t="e">
        <f t="shared" si="4"/>
        <v>#VALUE!</v>
      </c>
      <c r="K38" s="25" t="e">
        <f t="shared" si="2"/>
        <v>#VALUE!</v>
      </c>
      <c r="L38" s="25" t="e">
        <f>-ROUND(SUMIFS([1]CHO_VAY_MOI!$J:$J,[1]CHO_VAY_MOI!$H:$H,$C$4,[1]CHO_VAY_MOI!$Q:$Q,"=0702")/1000000000,0)</f>
        <v>#VALUE!</v>
      </c>
      <c r="M38" s="25" t="e">
        <f>SUMIFS([1]SO_KH_CVM!$D:$D,[1]SO_KH_CVM!$A:$A,$C$4,[1]SO_KH_CVM!$B:$B,"=0702")</f>
        <v>#VALUE!</v>
      </c>
    </row>
    <row r="39" spans="1:13" ht="234.6" x14ac:dyDescent="0.3">
      <c r="A39" s="1" t="s">
        <v>95</v>
      </c>
      <c r="B39" s="14" t="s">
        <v>96</v>
      </c>
      <c r="C39" s="15" t="s">
        <v>97</v>
      </c>
      <c r="D39" s="26" t="e">
        <f>ROUND(SUMIFS([1]NGANH_ANH_HUONG!$H:$H,[1]NGANH_ANH_HUONG!$U:$U,$C$4,[1]NGANH_ANH_HUONG!$O:$O,"=0801")/1000000000,0)</f>
        <v>#VALUE!</v>
      </c>
      <c r="E39" s="25" t="e">
        <f>ROUND(SUMIFS([1]DU_CO_CAU!$AB:$AB,[1]DU_CO_CAU!$P:$P,$C$4,[1]DU_CO_CAU!$AC:$AC,"=0801")/1000000000,0)</f>
        <v>#VALUE!</v>
      </c>
      <c r="F39" s="25" t="e">
        <f>SUMIFS([1]SO_KH_CCN!$D:$D,[1]SO_KH_CCN!$A:$A,$C$4,[1]SO_KH_CCN!$B:$B,"=0801")</f>
        <v>#VALUE!</v>
      </c>
      <c r="G39" s="25">
        <v>0</v>
      </c>
      <c r="H39" s="25">
        <v>0</v>
      </c>
      <c r="I39" s="25">
        <v>0</v>
      </c>
      <c r="J39" s="25" t="e">
        <f t="shared" si="4"/>
        <v>#VALUE!</v>
      </c>
      <c r="K39" s="25" t="e">
        <f t="shared" si="2"/>
        <v>#VALUE!</v>
      </c>
      <c r="L39" s="25" t="e">
        <f>-ROUND(SUMIFS([1]CHO_VAY_MOI!$J:$J,[1]CHO_VAY_MOI!$H:$H,$C$4,[1]CHO_VAY_MOI!$Q:$Q,"=0801")/1000000000,0)</f>
        <v>#VALUE!</v>
      </c>
      <c r="M39" s="25" t="e">
        <f>SUMIFS([1]SO_KH_CVM!$D:$D,[1]SO_KH_CVM!$A:$A,$C$4,[1]SO_KH_CVM!$B:$B,"=0801")</f>
        <v>#VALUE!</v>
      </c>
    </row>
    <row r="40" spans="1:13" ht="41.4" x14ac:dyDescent="0.3">
      <c r="A40" s="1" t="s">
        <v>98</v>
      </c>
      <c r="B40" s="14" t="s">
        <v>99</v>
      </c>
      <c r="C40" s="15" t="s">
        <v>100</v>
      </c>
      <c r="D40" s="26" t="e">
        <f>ROUND(SUMIFS([1]NGANH_ANH_HUONG!$H:$H,[1]NGANH_ANH_HUONG!$U:$U,$C$4,[1]NGANH_ANH_HUONG!$O:$O,"=0802")/1000000000,0)</f>
        <v>#VALUE!</v>
      </c>
      <c r="E40" s="25" t="e">
        <f>ROUND(SUMIFS([1]DU_CO_CAU!$AB:$AB,[1]DU_CO_CAU!$P:$P,$C$4,[1]DU_CO_CAU!$AC:$AC,"=0802")/1000000000,0)</f>
        <v>#VALUE!</v>
      </c>
      <c r="F40" s="25" t="e">
        <f>SUMIFS([1]SO_KH_CCN!$D:$D,[1]SO_KH_CCN!$A:$A,$C$4,[1]SO_KH_CCN!$B:$B,"=0802")</f>
        <v>#VALUE!</v>
      </c>
      <c r="G40" s="25">
        <v>0</v>
      </c>
      <c r="H40" s="25">
        <v>0</v>
      </c>
      <c r="I40" s="25">
        <v>0</v>
      </c>
      <c r="J40" s="25" t="e">
        <f t="shared" si="4"/>
        <v>#VALUE!</v>
      </c>
      <c r="K40" s="25" t="e">
        <f t="shared" si="2"/>
        <v>#VALUE!</v>
      </c>
      <c r="L40" s="25" t="e">
        <f>-ROUND(SUMIFS([1]CHO_VAY_MOI!$J:$J,[1]CHO_VAY_MOI!$H:$H,$C$4,[1]CHO_VAY_MOI!$Q:$Q,"=0802")/1000000000,0)</f>
        <v>#VALUE!</v>
      </c>
      <c r="M40" s="25" t="e">
        <f>SUMIFS([1]SO_KH_CVM!$D:$D,[1]SO_KH_CVM!$A:$A,$C$4,[1]SO_KH_CVM!$B:$B,"=0802")</f>
        <v>#VALUE!</v>
      </c>
    </row>
    <row r="41" spans="1:13" ht="69" x14ac:dyDescent="0.3">
      <c r="A41" s="1" t="s">
        <v>101</v>
      </c>
      <c r="B41" s="14" t="s">
        <v>102</v>
      </c>
      <c r="C41" s="15" t="s">
        <v>103</v>
      </c>
      <c r="D41" s="26" t="e">
        <f>ROUND(SUMIFS([1]NGANH_ANH_HUONG!$H:$H,[1]NGANH_ANH_HUONG!$U:$U,$C$4,[1]NGANH_ANH_HUONG!$O:$O,"=0803")/1000000000,0)</f>
        <v>#VALUE!</v>
      </c>
      <c r="E41" s="25" t="e">
        <f>ROUND(SUMIFS([1]DU_CO_CAU!$AB:$AB,[1]DU_CO_CAU!$P:$P,$C$4,[1]DU_CO_CAU!$AC:$AC,"=0803")/1000000000,0)</f>
        <v>#VALUE!</v>
      </c>
      <c r="F41" s="25" t="e">
        <f>SUMIFS([1]SO_KH_CCN!$D:$D,[1]SO_KH_CCN!$A:$A,$C$4,[1]SO_KH_CCN!$B:$B,"=0803")</f>
        <v>#VALUE!</v>
      </c>
      <c r="G41" s="25">
        <v>0</v>
      </c>
      <c r="H41" s="25">
        <v>0</v>
      </c>
      <c r="I41" s="25">
        <v>0</v>
      </c>
      <c r="J41" s="25" t="e">
        <f t="shared" si="4"/>
        <v>#VALUE!</v>
      </c>
      <c r="K41" s="25" t="e">
        <f t="shared" si="2"/>
        <v>#VALUE!</v>
      </c>
      <c r="L41" s="25" t="e">
        <f>-ROUND(SUMIFS([1]CHO_VAY_MOI!$J:$J,[1]CHO_VAY_MOI!$H:$H,$C$4,[1]CHO_VAY_MOI!$Q:$Q,"=0803")/1000000000,0)</f>
        <v>#VALUE!</v>
      </c>
      <c r="M41" s="25" t="e">
        <f>SUMIFS([1]SO_KH_CVM!$D:$D,[1]SO_KH_CVM!$A:$A,$C$4,[1]SO_KH_CVM!$B:$B,"=0803")</f>
        <v>#VALUE!</v>
      </c>
    </row>
    <row r="42" spans="1:13" ht="69" x14ac:dyDescent="0.3">
      <c r="A42" s="1" t="s">
        <v>104</v>
      </c>
      <c r="B42" s="14" t="s">
        <v>105</v>
      </c>
      <c r="C42" s="15" t="s">
        <v>106</v>
      </c>
      <c r="D42" s="26" t="e">
        <f>ROUND(SUMIFS([1]NGANH_ANH_HUONG!$H:$H,[1]NGANH_ANH_HUONG!$U:$U,$C$4,[1]NGANH_ANH_HUONG!$O:$O,"=0804")/1000000000,0)</f>
        <v>#VALUE!</v>
      </c>
      <c r="E42" s="25" t="e">
        <f>ROUND(SUMIFS([1]DU_CO_CAU!$AB:$AB,[1]DU_CO_CAU!$P:$P,$C$4,[1]DU_CO_CAU!$AC:$AC,"=0804")/1000000000,0)</f>
        <v>#VALUE!</v>
      </c>
      <c r="F42" s="25" t="e">
        <f>SUMIFS([1]SO_KH_CCN!$D:$D,[1]SO_KH_CCN!$A:$A,$C$4,[1]SO_KH_CCN!$B:$B,"=0804")</f>
        <v>#VALUE!</v>
      </c>
      <c r="G42" s="25">
        <v>0</v>
      </c>
      <c r="H42" s="25">
        <v>0</v>
      </c>
      <c r="I42" s="25">
        <v>0</v>
      </c>
      <c r="J42" s="25" t="e">
        <f t="shared" si="4"/>
        <v>#VALUE!</v>
      </c>
      <c r="K42" s="25" t="e">
        <f t="shared" si="2"/>
        <v>#VALUE!</v>
      </c>
      <c r="L42" s="25" t="e">
        <f>-ROUND(SUMIFS([1]CHO_VAY_MOI!$J:$J,[1]CHO_VAY_MOI!$H:$H,$C$4,[1]CHO_VAY_MOI!$Q:$Q,"=0804")/1000000000,0)</f>
        <v>#VALUE!</v>
      </c>
      <c r="M42" s="25" t="e">
        <f>SUMIFS([1]SO_KH_CVM!$D:$D,[1]SO_KH_CVM!$A:$A,$C$4,[1]SO_KH_CVM!$B:$B,"=0804")</f>
        <v>#VALUE!</v>
      </c>
    </row>
    <row r="43" spans="1:13" ht="55.2" x14ac:dyDescent="0.3">
      <c r="A43" s="1" t="s">
        <v>107</v>
      </c>
      <c r="B43" s="14" t="s">
        <v>108</v>
      </c>
      <c r="C43" s="15" t="s">
        <v>109</v>
      </c>
      <c r="D43" s="26" t="e">
        <f>ROUND(SUMIFS([1]NGANH_ANH_HUONG!$H:$H,[1]NGANH_ANH_HUONG!$U:$U,$C$4,[1]NGANH_ANH_HUONG!$O:$O,"=0805")/1000000000,0)</f>
        <v>#VALUE!</v>
      </c>
      <c r="E43" s="25" t="e">
        <f>ROUND(SUMIFS([1]DU_CO_CAU!$AB:$AB,[1]DU_CO_CAU!$P:$P,$C$4,[1]DU_CO_CAU!$AC:$AC,"=0805")/1000000000,0)</f>
        <v>#VALUE!</v>
      </c>
      <c r="F43" s="25" t="e">
        <f>SUMIFS([1]SO_KH_CCN!$D:$D,[1]SO_KH_CCN!$A:$A,$C$4,[1]SO_KH_CCN!$B:$B,"=0805")</f>
        <v>#VALUE!</v>
      </c>
      <c r="G43" s="25">
        <v>0</v>
      </c>
      <c r="H43" s="25">
        <v>0</v>
      </c>
      <c r="I43" s="25">
        <v>0</v>
      </c>
      <c r="J43" s="25" t="e">
        <f t="shared" si="4"/>
        <v>#VALUE!</v>
      </c>
      <c r="K43" s="25" t="e">
        <f t="shared" si="2"/>
        <v>#VALUE!</v>
      </c>
      <c r="L43" s="25" t="e">
        <f>-ROUND(SUMIFS([1]CHO_VAY_MOI!$J:$J,[1]CHO_VAY_MOI!$H:$H,$C$4,[1]CHO_VAY_MOI!$Q:$Q,"=0805")/1000000000,0)</f>
        <v>#VALUE!</v>
      </c>
      <c r="M43" s="25" t="e">
        <f>SUMIFS([1]SO_KH_CVM!$D:$D,[1]SO_KH_CVM!$A:$A,$C$4,[1]SO_KH_CVM!$B:$B,"=0805")</f>
        <v>#VALUE!</v>
      </c>
    </row>
    <row r="44" spans="1:13" ht="248.4" x14ac:dyDescent="0.3">
      <c r="A44" s="1" t="s">
        <v>110</v>
      </c>
      <c r="B44" s="14" t="s">
        <v>111</v>
      </c>
      <c r="C44" s="15" t="s">
        <v>112</v>
      </c>
      <c r="D44" s="26" t="e">
        <f>ROUND(SUMIFS([1]NGANH_ANH_HUONG!$H:$H,[1]NGANH_ANH_HUONG!$U:$U,$C$4,[1]NGANH_ANH_HUONG!$O:$O,"=0806")/1000000000,0)</f>
        <v>#VALUE!</v>
      </c>
      <c r="E44" s="25" t="e">
        <f>ROUND(SUMIFS([1]DU_CO_CAU!$AB:$AB,[1]DU_CO_CAU!$P:$P,$C$4,[1]DU_CO_CAU!$AC:$AC,"=0806")/1000000000,0)</f>
        <v>#VALUE!</v>
      </c>
      <c r="F44" s="25" t="e">
        <f>SUMIFS([1]SO_KH_CCN!$D:$D,[1]SO_KH_CCN!$A:$A,$C$4,[1]SO_KH_CCN!$B:$B,"=0806")</f>
        <v>#VALUE!</v>
      </c>
      <c r="G44" s="25">
        <v>0</v>
      </c>
      <c r="H44" s="25">
        <v>0</v>
      </c>
      <c r="I44" s="25">
        <v>0</v>
      </c>
      <c r="J44" s="25" t="e">
        <f t="shared" si="4"/>
        <v>#VALUE!</v>
      </c>
      <c r="K44" s="25" t="e">
        <f t="shared" si="2"/>
        <v>#VALUE!</v>
      </c>
      <c r="L44" s="25" t="e">
        <f>-ROUND(SUMIFS([1]CHO_VAY_MOI!$J:$J,[1]CHO_VAY_MOI!$H:$H,$C$4,[1]CHO_VAY_MOI!$Q:$Q,"=0806")/1000000000,0)</f>
        <v>#VALUE!</v>
      </c>
      <c r="M44" s="25" t="e">
        <f>SUMIFS([1]SO_KH_CVM!$D:$D,[1]SO_KH_CVM!$A:$A,$C$4,[1]SO_KH_CVM!$B:$B,"=0806")</f>
        <v>#VALUE!</v>
      </c>
    </row>
    <row r="45" spans="1:13" ht="82.8" x14ac:dyDescent="0.3">
      <c r="A45" s="1" t="s">
        <v>113</v>
      </c>
      <c r="B45" s="14" t="s">
        <v>114</v>
      </c>
      <c r="C45" s="15" t="s">
        <v>115</v>
      </c>
      <c r="D45" s="26" t="e">
        <f>ROUND(SUMIFS([1]NGANH_ANH_HUONG!$H:$H,[1]NGANH_ANH_HUONG!$U:$U,$C$4,[1]NGANH_ANH_HUONG!$O:$O,"=0807")/1000000000,0)</f>
        <v>#VALUE!</v>
      </c>
      <c r="E45" s="25" t="e">
        <f>ROUND(SUMIFS([1]DU_CO_CAU!$AB:$AB,[1]DU_CO_CAU!$P:$P,$C$4,[1]DU_CO_CAU!$AC:$AC,"=0807")/1000000000,0)</f>
        <v>#VALUE!</v>
      </c>
      <c r="F45" s="25" t="e">
        <f>SUMIFS([1]SO_KH_CCN!$D:$D,[1]SO_KH_CCN!$A:$A,$C$4,[1]SO_KH_CCN!$B:$B,"=0807")</f>
        <v>#VALUE!</v>
      </c>
      <c r="G45" s="25">
        <v>0</v>
      </c>
      <c r="H45" s="25">
        <v>0</v>
      </c>
      <c r="I45" s="25">
        <v>0</v>
      </c>
      <c r="J45" s="25" t="e">
        <f t="shared" si="4"/>
        <v>#VALUE!</v>
      </c>
      <c r="K45" s="25" t="e">
        <f t="shared" si="2"/>
        <v>#VALUE!</v>
      </c>
      <c r="L45" s="25" t="e">
        <f>-ROUND(SUMIFS([1]CHO_VAY_MOI!$J:$J,[1]CHO_VAY_MOI!$H:$H,$C$4,[1]CHO_VAY_MOI!$Q:$Q,"=0807")/1000000000,0)</f>
        <v>#VALUE!</v>
      </c>
      <c r="M45" s="25" t="e">
        <f>SUMIFS([1]SO_KH_CVM!$D:$D,[1]SO_KH_CVM!$A:$A,$C$4,[1]SO_KH_CVM!$B:$B,"=0807")</f>
        <v>#VALUE!</v>
      </c>
    </row>
    <row r="46" spans="1:13" ht="41.4" x14ac:dyDescent="0.3">
      <c r="A46" s="1" t="s">
        <v>116</v>
      </c>
      <c r="B46" s="14" t="s">
        <v>117</v>
      </c>
      <c r="C46" s="15" t="s">
        <v>118</v>
      </c>
      <c r="D46" s="26" t="e">
        <f>D24</f>
        <v>#VALUE!</v>
      </c>
      <c r="E46" s="26" t="e">
        <f t="shared" ref="E46:M46" si="6">E24</f>
        <v>#VALUE!</v>
      </c>
      <c r="F46" s="26" t="e">
        <f t="shared" si="6"/>
        <v>#VALUE!</v>
      </c>
      <c r="G46" s="26">
        <f t="shared" si="6"/>
        <v>0</v>
      </c>
      <c r="H46" s="26">
        <f t="shared" si="6"/>
        <v>0</v>
      </c>
      <c r="I46" s="26">
        <f t="shared" si="6"/>
        <v>0</v>
      </c>
      <c r="J46" s="26" t="e">
        <f t="shared" si="6"/>
        <v>#VALUE!</v>
      </c>
      <c r="K46" s="26" t="e">
        <f t="shared" si="6"/>
        <v>#VALUE!</v>
      </c>
      <c r="L46" s="26" t="e">
        <f t="shared" si="6"/>
        <v>#VALUE!</v>
      </c>
      <c r="M46" s="26" t="e">
        <f t="shared" si="6"/>
        <v>#VALUE!</v>
      </c>
    </row>
    <row r="47" spans="1:13" ht="138" x14ac:dyDescent="0.3">
      <c r="A47" s="1" t="s">
        <v>119</v>
      </c>
      <c r="B47" s="14" t="s">
        <v>120</v>
      </c>
      <c r="C47" s="15" t="s">
        <v>121</v>
      </c>
      <c r="D47" s="16" t="s">
        <v>122</v>
      </c>
      <c r="E47" s="17" t="s">
        <v>122</v>
      </c>
      <c r="F47" s="17" t="s">
        <v>122</v>
      </c>
      <c r="G47" s="17" t="s">
        <v>122</v>
      </c>
      <c r="H47" s="17" t="s">
        <v>122</v>
      </c>
      <c r="I47" s="17" t="s">
        <v>122</v>
      </c>
      <c r="J47" s="25" t="s">
        <v>234</v>
      </c>
      <c r="K47" s="25" t="s">
        <v>234</v>
      </c>
      <c r="L47" s="17" t="s">
        <v>122</v>
      </c>
      <c r="M47" s="17" t="s">
        <v>122</v>
      </c>
    </row>
    <row r="48" spans="1:13" x14ac:dyDescent="0.3">
      <c r="A48" s="1"/>
      <c r="B48" s="2"/>
      <c r="C48" s="3"/>
      <c r="D48" s="2"/>
      <c r="E48" s="2"/>
      <c r="F48" s="2"/>
      <c r="G48" s="2"/>
      <c r="H48" s="2"/>
      <c r="I48" s="2"/>
      <c r="J48" s="2"/>
      <c r="K48" s="2"/>
      <c r="L48" s="2"/>
      <c r="M48" s="2"/>
    </row>
    <row r="49" spans="1:13" x14ac:dyDescent="0.3">
      <c r="A49" s="1" t="s">
        <v>123</v>
      </c>
      <c r="B49" s="29" t="s">
        <v>124</v>
      </c>
      <c r="C49" s="29"/>
      <c r="D49" s="29"/>
      <c r="E49" s="29"/>
      <c r="F49" s="29"/>
      <c r="G49" s="29"/>
      <c r="H49" s="29"/>
      <c r="I49" s="29"/>
      <c r="J49" s="29"/>
      <c r="K49" s="29"/>
      <c r="L49" s="29"/>
      <c r="M49" s="29"/>
    </row>
  </sheetData>
  <mergeCells count="12">
    <mergeCell ref="L16:M16"/>
    <mergeCell ref="B49:M49"/>
    <mergeCell ref="B11:M11"/>
    <mergeCell ref="B12:M12"/>
    <mergeCell ref="B13:M13"/>
    <mergeCell ref="B14:M14"/>
    <mergeCell ref="B16:B17"/>
    <mergeCell ref="C16:C17"/>
    <mergeCell ref="D16:D17"/>
    <mergeCell ref="E16:F16"/>
    <mergeCell ref="G16:I16"/>
    <mergeCell ref="J16:K1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01"/>
  <sheetViews>
    <sheetView workbookViewId="0">
      <selection activeCell="C8" sqref="C8"/>
    </sheetView>
  </sheetViews>
  <sheetFormatPr defaultRowHeight="14.4" x14ac:dyDescent="0.3"/>
  <cols>
    <col min="1" max="1" width="15" bestFit="1" customWidth="1"/>
  </cols>
  <sheetData>
    <row r="1" spans="1:1" x14ac:dyDescent="0.3">
      <c r="A1" t="s">
        <v>125</v>
      </c>
    </row>
    <row r="2" spans="1:1" x14ac:dyDescent="0.3">
      <c r="A2" t="s">
        <v>126</v>
      </c>
    </row>
    <row r="3" spans="1:1" x14ac:dyDescent="0.3">
      <c r="A3" t="s">
        <v>127</v>
      </c>
    </row>
    <row r="4" spans="1:1" x14ac:dyDescent="0.3">
      <c r="A4" t="s">
        <v>128</v>
      </c>
    </row>
    <row r="5" spans="1:1" x14ac:dyDescent="0.3">
      <c r="A5" t="s">
        <v>129</v>
      </c>
    </row>
    <row r="6" spans="1:1" x14ac:dyDescent="0.3">
      <c r="A6" t="s">
        <v>130</v>
      </c>
    </row>
    <row r="7" spans="1:1" x14ac:dyDescent="0.3">
      <c r="A7" t="s">
        <v>131</v>
      </c>
    </row>
    <row r="8" spans="1:1" x14ac:dyDescent="0.3">
      <c r="A8" t="s">
        <v>132</v>
      </c>
    </row>
    <row r="9" spans="1:1" x14ac:dyDescent="0.3">
      <c r="A9" t="s">
        <v>133</v>
      </c>
    </row>
    <row r="10" spans="1:1" x14ac:dyDescent="0.3">
      <c r="A10" t="s">
        <v>134</v>
      </c>
    </row>
    <row r="11" spans="1:1" x14ac:dyDescent="0.3">
      <c r="A11" t="s">
        <v>144</v>
      </c>
    </row>
    <row r="12" spans="1:1" x14ac:dyDescent="0.3">
      <c r="A12" t="s">
        <v>145</v>
      </c>
    </row>
    <row r="13" spans="1:1" x14ac:dyDescent="0.3">
      <c r="A13" t="s">
        <v>146</v>
      </c>
    </row>
    <row r="14" spans="1:1" x14ac:dyDescent="0.3">
      <c r="A14" t="s">
        <v>147</v>
      </c>
    </row>
    <row r="15" spans="1:1" x14ac:dyDescent="0.3">
      <c r="A15" t="s">
        <v>148</v>
      </c>
    </row>
    <row r="16" spans="1:1" x14ac:dyDescent="0.3">
      <c r="A16" t="s">
        <v>149</v>
      </c>
    </row>
    <row r="17" spans="1:1" x14ac:dyDescent="0.3">
      <c r="A17" t="s">
        <v>150</v>
      </c>
    </row>
    <row r="18" spans="1:1" x14ac:dyDescent="0.3">
      <c r="A18" t="s">
        <v>151</v>
      </c>
    </row>
    <row r="19" spans="1:1" x14ac:dyDescent="0.3">
      <c r="A19" t="s">
        <v>152</v>
      </c>
    </row>
    <row r="20" spans="1:1" x14ac:dyDescent="0.3">
      <c r="A20" t="s">
        <v>153</v>
      </c>
    </row>
    <row r="21" spans="1:1" x14ac:dyDescent="0.3">
      <c r="A21" t="s">
        <v>154</v>
      </c>
    </row>
    <row r="22" spans="1:1" x14ac:dyDescent="0.3">
      <c r="A22" t="s">
        <v>155</v>
      </c>
    </row>
    <row r="23" spans="1:1" x14ac:dyDescent="0.3">
      <c r="A23" t="s">
        <v>156</v>
      </c>
    </row>
    <row r="24" spans="1:1" x14ac:dyDescent="0.3">
      <c r="A24" t="s">
        <v>157</v>
      </c>
    </row>
    <row r="25" spans="1:1" x14ac:dyDescent="0.3">
      <c r="A25" t="s">
        <v>158</v>
      </c>
    </row>
    <row r="26" spans="1:1" x14ac:dyDescent="0.3">
      <c r="A26" t="s">
        <v>159</v>
      </c>
    </row>
    <row r="27" spans="1:1" x14ac:dyDescent="0.3">
      <c r="A27" t="s">
        <v>160</v>
      </c>
    </row>
    <row r="28" spans="1:1" x14ac:dyDescent="0.3">
      <c r="A28" t="s">
        <v>161</v>
      </c>
    </row>
    <row r="29" spans="1:1" x14ac:dyDescent="0.3">
      <c r="A29" t="s">
        <v>162</v>
      </c>
    </row>
    <row r="30" spans="1:1" x14ac:dyDescent="0.3">
      <c r="A30" t="s">
        <v>163</v>
      </c>
    </row>
    <row r="31" spans="1:1" x14ac:dyDescent="0.3">
      <c r="A31" t="s">
        <v>164</v>
      </c>
    </row>
    <row r="32" spans="1:1" x14ac:dyDescent="0.3">
      <c r="A32" t="s">
        <v>165</v>
      </c>
    </row>
    <row r="33" spans="1:1" x14ac:dyDescent="0.3">
      <c r="A33" t="s">
        <v>166</v>
      </c>
    </row>
    <row r="34" spans="1:1" x14ac:dyDescent="0.3">
      <c r="A34" t="s">
        <v>167</v>
      </c>
    </row>
    <row r="35" spans="1:1" x14ac:dyDescent="0.3">
      <c r="A35" t="s">
        <v>168</v>
      </c>
    </row>
    <row r="36" spans="1:1" x14ac:dyDescent="0.3">
      <c r="A36" t="s">
        <v>169</v>
      </c>
    </row>
    <row r="37" spans="1:1" x14ac:dyDescent="0.3">
      <c r="A37" t="s">
        <v>170</v>
      </c>
    </row>
    <row r="38" spans="1:1" x14ac:dyDescent="0.3">
      <c r="A38" t="s">
        <v>171</v>
      </c>
    </row>
    <row r="39" spans="1:1" x14ac:dyDescent="0.3">
      <c r="A39" t="s">
        <v>172</v>
      </c>
    </row>
    <row r="40" spans="1:1" x14ac:dyDescent="0.3">
      <c r="A40" t="s">
        <v>173</v>
      </c>
    </row>
    <row r="41" spans="1:1" x14ac:dyDescent="0.3">
      <c r="A41" t="s">
        <v>174</v>
      </c>
    </row>
    <row r="42" spans="1:1" x14ac:dyDescent="0.3">
      <c r="A42" t="s">
        <v>175</v>
      </c>
    </row>
    <row r="43" spans="1:1" x14ac:dyDescent="0.3">
      <c r="A43" t="s">
        <v>176</v>
      </c>
    </row>
    <row r="44" spans="1:1" x14ac:dyDescent="0.3">
      <c r="A44" t="s">
        <v>177</v>
      </c>
    </row>
    <row r="45" spans="1:1" x14ac:dyDescent="0.3">
      <c r="A45" t="s">
        <v>178</v>
      </c>
    </row>
    <row r="46" spans="1:1" x14ac:dyDescent="0.3">
      <c r="A46" t="s">
        <v>179</v>
      </c>
    </row>
    <row r="47" spans="1:1" x14ac:dyDescent="0.3">
      <c r="A47" t="s">
        <v>180</v>
      </c>
    </row>
    <row r="48" spans="1:1" x14ac:dyDescent="0.3">
      <c r="A48" t="s">
        <v>181</v>
      </c>
    </row>
    <row r="49" spans="1:1" x14ac:dyDescent="0.3">
      <c r="A49" t="s">
        <v>182</v>
      </c>
    </row>
    <row r="50" spans="1:1" x14ac:dyDescent="0.3">
      <c r="A50" t="s">
        <v>183</v>
      </c>
    </row>
    <row r="51" spans="1:1" x14ac:dyDescent="0.3">
      <c r="A51" t="s">
        <v>184</v>
      </c>
    </row>
    <row r="52" spans="1:1" x14ac:dyDescent="0.3">
      <c r="A52" t="s">
        <v>185</v>
      </c>
    </row>
    <row r="53" spans="1:1" x14ac:dyDescent="0.3">
      <c r="A53" t="s">
        <v>186</v>
      </c>
    </row>
    <row r="54" spans="1:1" x14ac:dyDescent="0.3">
      <c r="A54" t="s">
        <v>187</v>
      </c>
    </row>
    <row r="55" spans="1:1" x14ac:dyDescent="0.3">
      <c r="A55" t="s">
        <v>188</v>
      </c>
    </row>
    <row r="56" spans="1:1" x14ac:dyDescent="0.3">
      <c r="A56" t="s">
        <v>143</v>
      </c>
    </row>
    <row r="57" spans="1:1" x14ac:dyDescent="0.3">
      <c r="A57" t="s">
        <v>189</v>
      </c>
    </row>
    <row r="58" spans="1:1" x14ac:dyDescent="0.3">
      <c r="A58" t="s">
        <v>190</v>
      </c>
    </row>
    <row r="59" spans="1:1" x14ac:dyDescent="0.3">
      <c r="A59" t="s">
        <v>191</v>
      </c>
    </row>
    <row r="60" spans="1:1" x14ac:dyDescent="0.3">
      <c r="A60" t="s">
        <v>192</v>
      </c>
    </row>
    <row r="61" spans="1:1" x14ac:dyDescent="0.3">
      <c r="A61" t="s">
        <v>193</v>
      </c>
    </row>
    <row r="62" spans="1:1" x14ac:dyDescent="0.3">
      <c r="A62" t="s">
        <v>194</v>
      </c>
    </row>
    <row r="63" spans="1:1" x14ac:dyDescent="0.3">
      <c r="A63" t="s">
        <v>195</v>
      </c>
    </row>
    <row r="64" spans="1:1" x14ac:dyDescent="0.3">
      <c r="A64" t="s">
        <v>196</v>
      </c>
    </row>
    <row r="65" spans="1:1" x14ac:dyDescent="0.3">
      <c r="A65" t="s">
        <v>197</v>
      </c>
    </row>
    <row r="66" spans="1:1" x14ac:dyDescent="0.3">
      <c r="A66" t="s">
        <v>198</v>
      </c>
    </row>
    <row r="67" spans="1:1" x14ac:dyDescent="0.3">
      <c r="A67" t="s">
        <v>199</v>
      </c>
    </row>
    <row r="68" spans="1:1" x14ac:dyDescent="0.3">
      <c r="A68" t="s">
        <v>200</v>
      </c>
    </row>
    <row r="69" spans="1:1" x14ac:dyDescent="0.3">
      <c r="A69" t="s">
        <v>201</v>
      </c>
    </row>
    <row r="70" spans="1:1" x14ac:dyDescent="0.3">
      <c r="A70" t="s">
        <v>202</v>
      </c>
    </row>
    <row r="71" spans="1:1" x14ac:dyDescent="0.3">
      <c r="A71" t="s">
        <v>203</v>
      </c>
    </row>
    <row r="72" spans="1:1" x14ac:dyDescent="0.3">
      <c r="A72" t="s">
        <v>204</v>
      </c>
    </row>
    <row r="73" spans="1:1" x14ac:dyDescent="0.3">
      <c r="A73" t="s">
        <v>205</v>
      </c>
    </row>
    <row r="74" spans="1:1" x14ac:dyDescent="0.3">
      <c r="A74" t="s">
        <v>206</v>
      </c>
    </row>
    <row r="75" spans="1:1" x14ac:dyDescent="0.3">
      <c r="A75" t="s">
        <v>207</v>
      </c>
    </row>
    <row r="76" spans="1:1" x14ac:dyDescent="0.3">
      <c r="A76" t="s">
        <v>208</v>
      </c>
    </row>
    <row r="77" spans="1:1" x14ac:dyDescent="0.3">
      <c r="A77" t="s">
        <v>209</v>
      </c>
    </row>
    <row r="78" spans="1:1" x14ac:dyDescent="0.3">
      <c r="A78" t="s">
        <v>210</v>
      </c>
    </row>
    <row r="79" spans="1:1" x14ac:dyDescent="0.3">
      <c r="A79" t="s">
        <v>211</v>
      </c>
    </row>
    <row r="80" spans="1:1" x14ac:dyDescent="0.3">
      <c r="A80" t="s">
        <v>212</v>
      </c>
    </row>
    <row r="81" spans="1:1" x14ac:dyDescent="0.3">
      <c r="A81" t="s">
        <v>213</v>
      </c>
    </row>
    <row r="82" spans="1:1" x14ac:dyDescent="0.3">
      <c r="A82" t="s">
        <v>214</v>
      </c>
    </row>
    <row r="83" spans="1:1" x14ac:dyDescent="0.3">
      <c r="A83" t="s">
        <v>215</v>
      </c>
    </row>
    <row r="84" spans="1:1" x14ac:dyDescent="0.3">
      <c r="A84" t="s">
        <v>216</v>
      </c>
    </row>
    <row r="85" spans="1:1" x14ac:dyDescent="0.3">
      <c r="A85" t="s">
        <v>217</v>
      </c>
    </row>
    <row r="86" spans="1:1" x14ac:dyDescent="0.3">
      <c r="A86" t="s">
        <v>218</v>
      </c>
    </row>
    <row r="87" spans="1:1" x14ac:dyDescent="0.3">
      <c r="A87" t="s">
        <v>219</v>
      </c>
    </row>
    <row r="88" spans="1:1" x14ac:dyDescent="0.3">
      <c r="A88" t="s">
        <v>220</v>
      </c>
    </row>
    <row r="89" spans="1:1" x14ac:dyDescent="0.3">
      <c r="A89" t="s">
        <v>221</v>
      </c>
    </row>
    <row r="90" spans="1:1" x14ac:dyDescent="0.3">
      <c r="A90" t="s">
        <v>222</v>
      </c>
    </row>
    <row r="91" spans="1:1" x14ac:dyDescent="0.3">
      <c r="A91" t="s">
        <v>223</v>
      </c>
    </row>
    <row r="92" spans="1:1" x14ac:dyDescent="0.3">
      <c r="A92" t="s">
        <v>224</v>
      </c>
    </row>
    <row r="93" spans="1:1" x14ac:dyDescent="0.3">
      <c r="A93" t="s">
        <v>225</v>
      </c>
    </row>
    <row r="94" spans="1:1" x14ac:dyDescent="0.3">
      <c r="A94" t="s">
        <v>226</v>
      </c>
    </row>
    <row r="95" spans="1:1" x14ac:dyDescent="0.3">
      <c r="A95" t="s">
        <v>227</v>
      </c>
    </row>
    <row r="96" spans="1:1" x14ac:dyDescent="0.3">
      <c r="A96" t="s">
        <v>228</v>
      </c>
    </row>
    <row r="97" spans="1:1" x14ac:dyDescent="0.3">
      <c r="A97" t="s">
        <v>229</v>
      </c>
    </row>
    <row r="98" spans="1:1" x14ac:dyDescent="0.3">
      <c r="A98" t="s">
        <v>230</v>
      </c>
    </row>
    <row r="99" spans="1:1" x14ac:dyDescent="0.3">
      <c r="A99" t="s">
        <v>231</v>
      </c>
    </row>
    <row r="100" spans="1:1" x14ac:dyDescent="0.3">
      <c r="A100" t="s">
        <v>232</v>
      </c>
    </row>
    <row r="101" spans="1:1" x14ac:dyDescent="0.3">
      <c r="A101" t="s">
        <v>233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5"/>
  <sheetViews>
    <sheetView tabSelected="1" workbookViewId="0">
      <selection activeCell="C22" sqref="C22"/>
    </sheetView>
  </sheetViews>
  <sheetFormatPr defaultRowHeight="14.4" x14ac:dyDescent="0.3"/>
  <cols>
    <col min="2" max="2" width="26.6640625" customWidth="1"/>
    <col min="3" max="3" width="44.21875" customWidth="1"/>
  </cols>
  <sheetData>
    <row r="1" spans="1:3" x14ac:dyDescent="0.3">
      <c r="A1" s="19" t="s">
        <v>23</v>
      </c>
      <c r="B1" s="20" t="s">
        <v>137</v>
      </c>
      <c r="C1" s="21" t="s">
        <v>138</v>
      </c>
    </row>
    <row r="2" spans="1:3" x14ac:dyDescent="0.3">
      <c r="A2" s="22">
        <v>1</v>
      </c>
      <c r="B2" s="23" t="s">
        <v>140</v>
      </c>
      <c r="C2" s="24" t="s">
        <v>139</v>
      </c>
    </row>
    <row r="3" spans="1:3" x14ac:dyDescent="0.3">
      <c r="A3" s="22">
        <v>2</v>
      </c>
      <c r="B3" s="23" t="s">
        <v>141</v>
      </c>
      <c r="C3" s="24" t="s">
        <v>142</v>
      </c>
    </row>
    <row r="4" spans="1:3" x14ac:dyDescent="0.3">
      <c r="A4" s="22">
        <v>3</v>
      </c>
      <c r="B4" s="23" t="s">
        <v>235</v>
      </c>
      <c r="C4" s="24" t="s">
        <v>236</v>
      </c>
    </row>
    <row r="5" spans="1:3" x14ac:dyDescent="0.3">
      <c r="A5" s="22">
        <v>4</v>
      </c>
      <c r="B5" s="23" t="s">
        <v>237</v>
      </c>
      <c r="C5" s="24" t="s">
        <v>4</v>
      </c>
    </row>
  </sheetData>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plitWorkbook">
                <anchor moveWithCells="1" sizeWithCells="1">
                  <from>
                    <xdr:col>1</xdr:col>
                    <xdr:colOff>297180</xdr:colOff>
                    <xdr:row>10</xdr:row>
                    <xdr:rowOff>144780</xdr:rowOff>
                  </from>
                  <to>
                    <xdr:col>2</xdr:col>
                    <xdr:colOff>1394460</xdr:colOff>
                    <xdr:row>15</xdr:row>
                    <xdr:rowOff>106680</xdr:rowOff>
                  </to>
                </anchor>
              </controlPr>
            </control>
          </mc:Choice>
        </mc:AlternateContent>
        <mc:AlternateContent xmlns:mc="http://schemas.openxmlformats.org/markup-compatibility/2006">
          <mc:Choice Requires="x14">
            <control shapeId="1026" r:id="rId5" name="Button 2">
              <controlPr defaultSize="0" print="0" autoFill="0" autoPict="0" macro="[0]!SummaryReport">
                <anchor moveWithCells="1" sizeWithCells="1">
                  <from>
                    <xdr:col>1</xdr:col>
                    <xdr:colOff>304800</xdr:colOff>
                    <xdr:row>16</xdr:row>
                    <xdr:rowOff>152400</xdr:rowOff>
                  </from>
                  <to>
                    <xdr:col>2</xdr:col>
                    <xdr:colOff>1394460</xdr:colOff>
                    <xdr:row>22</xdr:row>
                    <xdr:rowOff>91440</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C003041</vt:lpstr>
      <vt:lpstr>MA_SBV</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2020-04-12T09:12:07Z</dcterms:modified>
</cp:coreProperties>
</file>